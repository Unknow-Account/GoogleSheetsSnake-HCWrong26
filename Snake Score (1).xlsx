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SY">Sheet1!$AE$5</definedName>
    <definedName name="SXP">Sheet1!$AF$4</definedName>
    <definedName name="SX">Sheet1!$AE$4</definedName>
    <definedName name="SAX">Sheet1!$AE$8</definedName>
    <definedName name="SYP">Sheet1!$AF$5</definedName>
  </definedNames>
  <calcPr/>
</workbook>
</file>

<file path=xl/sharedStrings.xml><?xml version="1.0" encoding="utf-8"?>
<sst xmlns="http://schemas.openxmlformats.org/spreadsheetml/2006/main" count="87" uniqueCount="76">
  <si>
    <t>Default Color</t>
  </si>
  <si>
    <t>COLOR CODE</t>
  </si>
  <si>
    <t>real</t>
  </si>
  <si>
    <t>plan</t>
  </si>
  <si>
    <t>Score</t>
  </si>
  <si>
    <t>X</t>
  </si>
  <si>
    <t>Y</t>
  </si>
  <si>
    <t>background</t>
  </si>
  <si>
    <t>Snake</t>
  </si>
  <si>
    <t>Apple</t>
  </si>
  <si>
    <t>S + A logic (1,0)</t>
  </si>
  <si>
    <t>Last Action (CC)</t>
  </si>
  <si>
    <t>Snake growing/expanding</t>
  </si>
  <si>
    <t>Border</t>
  </si>
  <si>
    <t>x</t>
  </si>
  <si>
    <t>U</t>
  </si>
  <si>
    <t>Head</t>
  </si>
  <si>
    <t>apple</t>
  </si>
  <si>
    <t>Move Counter</t>
  </si>
  <si>
    <t>y</t>
  </si>
  <si>
    <t>L</t>
  </si>
  <si>
    <t>snake head</t>
  </si>
  <si>
    <t>D</t>
  </si>
  <si>
    <t>snake body</t>
  </si>
  <si>
    <t>Apple Counter</t>
  </si>
  <si>
    <t>R</t>
  </si>
  <si>
    <t>High Score</t>
  </si>
  <si>
    <t>Gotta get coords and apples yk yk</t>
  </si>
  <si>
    <t>jUST FLICKER THE APPLE</t>
  </si>
  <si>
    <t>1-3 second response time</t>
  </si>
  <si>
    <t>Apple overrides snakes</t>
  </si>
  <si>
    <t>0 = no change</t>
  </si>
  <si>
    <t>DO NOT REMOVE</t>
  </si>
  <si>
    <t>68 move limit</t>
  </si>
  <si>
    <t>Green is ready</t>
  </si>
  <si>
    <t>Play</t>
  </si>
  <si>
    <t>Play default expection</t>
  </si>
  <si>
    <t xml:space="preserve">New play Value </t>
  </si>
  <si>
    <t>Apple Caught?</t>
  </si>
  <si>
    <t>---</t>
  </si>
  <si>
    <t>Red is loading</t>
  </si>
  <si>
    <t>CORD HISTORY</t>
  </si>
  <si>
    <t>(1,8)</t>
  </si>
  <si>
    <t>Coords</t>
  </si>
  <si>
    <t>(1,7)</t>
  </si>
  <si>
    <t>High score reset</t>
  </si>
  <si>
    <t>Reset</t>
  </si>
  <si>
    <t>L-X</t>
  </si>
  <si>
    <t>L-Y</t>
  </si>
  <si>
    <t>C-X</t>
  </si>
  <si>
    <t>C-Y</t>
  </si>
  <si>
    <t>(1,6)</t>
  </si>
  <si>
    <t>Real # &gt;</t>
  </si>
  <si>
    <t>Move #</t>
  </si>
  <si>
    <t>Action</t>
  </si>
  <si>
    <t>(1,5)</t>
  </si>
  <si>
    <t>(1,4)</t>
  </si>
  <si>
    <t>APPLE AND CORDS</t>
  </si>
  <si>
    <t>Can we record it?</t>
  </si>
  <si>
    <t>(1,3)</t>
  </si>
  <si>
    <t>Apple count</t>
  </si>
  <si>
    <t>Move # &amp; Happen</t>
  </si>
  <si>
    <t xml:space="preserve"> DO I NEED IT</t>
  </si>
  <si>
    <t>(1,2)</t>
  </si>
  <si>
    <t>(1,1)</t>
  </si>
  <si>
    <t>(2,8)</t>
  </si>
  <si>
    <t>(2,7)</t>
  </si>
  <si>
    <t>(2,6)</t>
  </si>
  <si>
    <t>(2,5)</t>
  </si>
  <si>
    <t>(2,4)</t>
  </si>
  <si>
    <t>(2,3)</t>
  </si>
  <si>
    <t>(2,2)</t>
  </si>
  <si>
    <t>(2,1)</t>
  </si>
  <si>
    <t>OOB-X</t>
  </si>
  <si>
    <t>OOB-Y</t>
  </si>
  <si>
    <t>Body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</si>
</sst>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i/>
      <color rgb="FF0000FF"/>
      <name val="Arial"/>
      <scheme val="minor"/>
    </font>
    <font>
      <b/>
      <i/>
      <sz val="8.0"/>
      <color rgb="FFFF0000"/>
      <name val="Arial"/>
      <scheme val="minor"/>
    </font>
    <font>
      <color rgb="FFFF0000"/>
      <name val="Arial"/>
      <scheme val="minor"/>
    </font>
    <font>
      <color rgb="FFFFFFFF"/>
      <name val="Arial"/>
      <scheme val="minor"/>
    </font>
    <font>
      <color rgb="FF000000"/>
      <name val="-apple-system-body"/>
    </font>
    <font>
      <sz val="9.0"/>
      <color rgb="FFFFFFFF"/>
      <name val="Arial"/>
      <scheme val="minor"/>
    </font>
    <font>
      <sz val="10.0"/>
      <color theme="1"/>
      <name val="Arial"/>
      <scheme val="minor"/>
    </font>
    <font>
      <sz val="9.0"/>
      <color rgb="FF000000"/>
      <name val="Inherit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2" numFmtId="0" xfId="0" applyFill="1" applyFont="1"/>
    <xf borderId="0" fillId="0" fontId="1" numFmtId="1" xfId="0" applyAlignment="1" applyFont="1" applyNumberFormat="1">
      <alignment readingOrder="0"/>
    </xf>
    <xf borderId="0" fillId="0" fontId="1" numFmtId="0" xfId="0" applyFont="1"/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3" numFmtId="0" xfId="0" applyAlignment="1" applyFont="1">
      <alignment horizontal="right" vertical="bottom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0" fontId="3" numFmtId="0" xfId="0" applyAlignment="1" applyFont="1">
      <alignment horizontal="right" readingOrder="0" vertical="bottom"/>
    </xf>
    <xf borderId="0" fillId="3" fontId="1" numFmtId="0" xfId="0" applyFill="1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1" numFmtId="0" xfId="0" applyAlignment="1" applyFont="1">
      <alignment readingOrder="0" shrinkToFit="0" wrapText="0"/>
    </xf>
    <xf borderId="0" fillId="0" fontId="6" numFmtId="0" xfId="0" applyFont="1"/>
    <xf borderId="0" fillId="0" fontId="1" numFmtId="0" xfId="0" applyAlignment="1" applyFont="1">
      <alignment horizontal="right"/>
    </xf>
    <xf borderId="0" fillId="0" fontId="7" numFmtId="0" xfId="0" applyFont="1"/>
    <xf borderId="0" fillId="10" fontId="1" numFmtId="0" xfId="0" applyFill="1" applyFont="1"/>
    <xf borderId="0" fillId="0" fontId="6" numFmtId="0" xfId="0" applyAlignment="1" applyFont="1">
      <alignment readingOrder="0" shrinkToFit="0" vertical="center" wrapText="0"/>
    </xf>
    <xf borderId="0" fillId="11" fontId="1" numFmtId="0" xfId="0" applyFill="1" applyFont="1"/>
    <xf borderId="0" fillId="12" fontId="1" numFmtId="0" xfId="0" applyFill="1" applyFont="1"/>
    <xf borderId="0" fillId="13" fontId="8" numFmtId="0" xfId="0" applyFill="1" applyFont="1"/>
    <xf borderId="0" fillId="6" fontId="1" numFmtId="0" xfId="0" applyFill="1" applyFont="1"/>
    <xf borderId="0" fillId="2" fontId="9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12" fontId="10" numFmtId="0" xfId="0" applyFill="1" applyFont="1"/>
    <xf borderId="0" fillId="0" fontId="10" numFmtId="0" xfId="0" applyFont="1"/>
    <xf borderId="0" fillId="14" fontId="1" numFmtId="0" xfId="0" applyFill="1" applyFont="1"/>
    <xf borderId="0" fillId="13" fontId="1" numFmtId="0" xfId="0" applyFill="1" applyFont="1"/>
    <xf borderId="0" fillId="0" fontId="11" numFmtId="0" xfId="0" applyAlignment="1" applyFont="1">
      <alignment horizontal="center" shrinkToFit="0" wrapText="0"/>
    </xf>
    <xf borderId="0" fillId="0" fontId="2" numFmtId="0" xfId="0" applyFont="1"/>
  </cellXfs>
  <cellStyles count="1">
    <cellStyle xfId="0" name="Normal" builtinId="0"/>
  </cellStyles>
  <dxfs count="11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>
        <color rgb="FFB6D7A8"/>
      </font>
      <fill>
        <patternFill patternType="solid">
          <fgColor rgb="FFB6D7A8"/>
          <bgColor rgb="FFB6D7A8"/>
        </patternFill>
      </fill>
      <border/>
    </dxf>
    <dxf>
      <font>
        <color rgb="FF38761D"/>
      </font>
      <fill>
        <patternFill patternType="solid">
          <fgColor rgb="FF38761D"/>
          <bgColor rgb="FF38761D"/>
        </patternFill>
      </fill>
      <border/>
    </dxf>
    <dxf>
      <font>
        <color rgb="FFFF0000"/>
      </font>
      <fill>
        <patternFill patternType="solid">
          <fgColor rgb="FFFF0000"/>
          <bgColor rgb="FFFF0000"/>
        </patternFill>
      </fill>
      <border/>
    </dxf>
    <dxf>
      <font>
        <color rgb="FF6FA8DC"/>
      </font>
      <fill>
        <patternFill patternType="solid">
          <fgColor rgb="FF6FA8DC"/>
          <bgColor rgb="FF6FA8DC"/>
        </patternFill>
      </fill>
      <border/>
    </dxf>
    <dxf>
      <font>
        <color rgb="FF9FC5E8"/>
      </font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>
        <color rgb="FF00FF00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2.38"/>
    <col customWidth="1" min="7" max="16" width="2.5"/>
    <col customWidth="1" min="18" max="28" width="6.63"/>
    <col customWidth="1" min="34" max="34" width="2.25"/>
  </cols>
  <sheetData>
    <row r="1">
      <c r="A1" s="1">
        <f>IF(AI16,AH10,AJ4)</f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>
        <f>IF(AI16,AH11,AK4)</f>
        <v>6</v>
      </c>
      <c r="R1" s="2"/>
      <c r="AB1" s="3"/>
      <c r="AC1" s="1" t="s">
        <v>0</v>
      </c>
      <c r="AD1" s="1">
        <v>0.0</v>
      </c>
      <c r="AF1" s="1"/>
    </row>
    <row r="2">
      <c r="A2" s="1" t="s">
        <v>1</v>
      </c>
      <c r="B2" s="1" t="s">
        <v>2</v>
      </c>
      <c r="C2" s="1" t="s">
        <v>3</v>
      </c>
      <c r="E2" s="2"/>
      <c r="F2" s="4">
        <f t="shared" ref="F2:O2" si="1">R2</f>
        <v>1</v>
      </c>
      <c r="G2" s="5">
        <f t="shared" si="1"/>
        <v>1</v>
      </c>
      <c r="H2" s="5">
        <f t="shared" si="1"/>
        <v>1</v>
      </c>
      <c r="I2" s="5">
        <f t="shared" si="1"/>
        <v>1</v>
      </c>
      <c r="J2" s="5">
        <f t="shared" si="1"/>
        <v>1</v>
      </c>
      <c r="K2" s="5">
        <f t="shared" si="1"/>
        <v>1</v>
      </c>
      <c r="L2" s="5">
        <f t="shared" si="1"/>
        <v>1</v>
      </c>
      <c r="M2" s="5">
        <f t="shared" si="1"/>
        <v>1</v>
      </c>
      <c r="N2" s="5">
        <f t="shared" si="1"/>
        <v>1</v>
      </c>
      <c r="O2" s="5">
        <f t="shared" si="1"/>
        <v>1</v>
      </c>
      <c r="P2" s="2"/>
      <c r="Q2" s="1" t="s">
        <v>4</v>
      </c>
      <c r="R2" s="1">
        <f>AC16</f>
        <v>1</v>
      </c>
      <c r="S2" s="1">
        <f>AC16</f>
        <v>1</v>
      </c>
      <c r="T2" s="1">
        <f>AC16</f>
        <v>1</v>
      </c>
      <c r="U2" s="1">
        <f>AC16</f>
        <v>1</v>
      </c>
      <c r="V2" s="1">
        <f>AC16</f>
        <v>1</v>
      </c>
      <c r="W2" s="1">
        <f>AC16</f>
        <v>1</v>
      </c>
      <c r="X2" s="1">
        <f>AC16</f>
        <v>1</v>
      </c>
      <c r="Y2" s="1">
        <f>AC16</f>
        <v>1</v>
      </c>
      <c r="Z2" s="1">
        <f>AC16</f>
        <v>1</v>
      </c>
      <c r="AA2" s="1">
        <f>AC16</f>
        <v>1</v>
      </c>
      <c r="AB2" s="1"/>
      <c r="AO2" s="1" t="s">
        <v>5</v>
      </c>
      <c r="AP2" s="1" t="s">
        <v>6</v>
      </c>
    </row>
    <row r="3">
      <c r="A3" s="1">
        <v>0.0</v>
      </c>
      <c r="B3" s="1">
        <v>0.0</v>
      </c>
      <c r="C3" s="6">
        <v>0.0</v>
      </c>
      <c r="D3" s="1" t="s">
        <v>7</v>
      </c>
      <c r="E3" s="2"/>
      <c r="F3" s="5">
        <f t="shared" ref="F3:F11" si="2">R3</f>
        <v>1</v>
      </c>
      <c r="G3" s="5">
        <f t="shared" ref="G3:G10" si="3">IF(EQ(AE16,1),AG16,0)</f>
        <v>0</v>
      </c>
      <c r="H3" s="5">
        <f t="shared" ref="H3:H10" si="4">IF(EQ(AE25,1),AG25,0)</f>
        <v>0</v>
      </c>
      <c r="I3" s="5">
        <f t="shared" ref="I3:I10" si="5">IF(AE34,AG34,0)</f>
        <v>0</v>
      </c>
      <c r="J3" s="5">
        <f t="shared" ref="J3:J10" si="6">IF(AE43,AG43,0)</f>
        <v>0</v>
      </c>
      <c r="K3" s="5">
        <f t="shared" ref="K3:K10" si="7">IF(AE52,AG52,0)</f>
        <v>3</v>
      </c>
      <c r="L3" s="5">
        <f t="shared" ref="L3:L10" si="8">IF(AE61,AG61,0)</f>
        <v>0</v>
      </c>
      <c r="M3" s="5">
        <f t="shared" ref="M3:M10" si="9">IF(AE70,AG70,0)</f>
        <v>0</v>
      </c>
      <c r="N3" s="5">
        <f t="shared" ref="N3:N10" si="10">IF(AE79,AG79,0)</f>
        <v>0</v>
      </c>
      <c r="O3" s="5">
        <f t="shared" ref="O3:O10" si="11">AA3</f>
        <v>1</v>
      </c>
      <c r="P3" s="2"/>
      <c r="Q3" s="1">
        <f>AM17</f>
        <v>0</v>
      </c>
      <c r="R3" s="1">
        <f>AC16</f>
        <v>1</v>
      </c>
      <c r="AA3" s="1">
        <f>AC16</f>
        <v>1</v>
      </c>
      <c r="AE3" s="1" t="s">
        <v>8</v>
      </c>
      <c r="AI3" s="1"/>
      <c r="AJ3" s="1" t="s">
        <v>9</v>
      </c>
      <c r="AM3" s="1" t="s">
        <v>10</v>
      </c>
      <c r="AN3" s="1" t="s">
        <v>11</v>
      </c>
      <c r="AO3" s="1" t="s">
        <v>12</v>
      </c>
    </row>
    <row r="4">
      <c r="A4" s="1">
        <v>1.0</v>
      </c>
      <c r="B4" s="1">
        <v>1.0</v>
      </c>
      <c r="C4" s="7">
        <v>1.0</v>
      </c>
      <c r="D4" s="1" t="s">
        <v>13</v>
      </c>
      <c r="E4" s="2"/>
      <c r="F4" s="5">
        <f t="shared" si="2"/>
        <v>1</v>
      </c>
      <c r="G4" s="5">
        <f t="shared" si="3"/>
        <v>0</v>
      </c>
      <c r="H4" s="5">
        <f t="shared" si="4"/>
        <v>0</v>
      </c>
      <c r="I4" s="5">
        <f t="shared" si="5"/>
        <v>0</v>
      </c>
      <c r="J4" s="5">
        <f t="shared" si="6"/>
        <v>0</v>
      </c>
      <c r="K4" s="5">
        <f t="shared" si="7"/>
        <v>0</v>
      </c>
      <c r="L4" s="5">
        <f t="shared" si="8"/>
        <v>0</v>
      </c>
      <c r="M4" s="5">
        <f t="shared" si="9"/>
        <v>0</v>
      </c>
      <c r="N4" s="5">
        <f t="shared" si="10"/>
        <v>0</v>
      </c>
      <c r="O4" s="5">
        <f t="shared" si="11"/>
        <v>1</v>
      </c>
      <c r="P4" s="2"/>
      <c r="R4" s="1">
        <f>AC16</f>
        <v>1</v>
      </c>
      <c r="AA4" s="1">
        <f>AC16</f>
        <v>1</v>
      </c>
      <c r="AD4" s="1" t="s">
        <v>14</v>
      </c>
      <c r="AE4" s="1">
        <f>IF(M15,5,IF(T16,AF4+1,IF(R16,AF4-1,AF4)))</f>
        <v>5</v>
      </c>
      <c r="AF4" s="1">
        <f t="shared" ref="AF4:AF5" si="12">AE4</f>
        <v>5</v>
      </c>
      <c r="AI4" s="1" t="s">
        <v>14</v>
      </c>
      <c r="AJ4" s="1">
        <f>IF(AI16,AH10,AJ4)</f>
        <v>3</v>
      </c>
      <c r="AK4" s="1">
        <f>IF(AI16,AH11,AK4)</f>
        <v>6</v>
      </c>
      <c r="AL4" s="1" t="s">
        <v>15</v>
      </c>
      <c r="AM4" s="5">
        <f>IF(AND(EQ(SX,AJ4),EQ(SY,AK4)),1,0)</f>
        <v>0</v>
      </c>
      <c r="AN4" s="8"/>
      <c r="AO4" s="5">
        <f>SX</f>
        <v>5</v>
      </c>
      <c r="AP4" s="5">
        <f>SY</f>
        <v>8</v>
      </c>
      <c r="AQ4" s="1" t="s">
        <v>16</v>
      </c>
    </row>
    <row r="5">
      <c r="A5" s="1">
        <v>2.0</v>
      </c>
      <c r="B5" s="1">
        <v>2.0</v>
      </c>
      <c r="C5" s="9">
        <v>2.0</v>
      </c>
      <c r="D5" s="1" t="s">
        <v>17</v>
      </c>
      <c r="E5" s="2"/>
      <c r="F5" s="5">
        <f t="shared" si="2"/>
        <v>1</v>
      </c>
      <c r="G5" s="5">
        <f t="shared" si="3"/>
        <v>0</v>
      </c>
      <c r="H5" s="5">
        <f t="shared" si="4"/>
        <v>0</v>
      </c>
      <c r="I5" s="5">
        <f t="shared" si="5"/>
        <v>2</v>
      </c>
      <c r="J5" s="5">
        <f t="shared" si="6"/>
        <v>0</v>
      </c>
      <c r="K5" s="5">
        <f t="shared" si="7"/>
        <v>0</v>
      </c>
      <c r="L5" s="5">
        <f t="shared" si="8"/>
        <v>0</v>
      </c>
      <c r="M5" s="5">
        <f t="shared" si="9"/>
        <v>0</v>
      </c>
      <c r="N5" s="5">
        <f t="shared" si="10"/>
        <v>0</v>
      </c>
      <c r="O5" s="5">
        <f t="shared" si="11"/>
        <v>1</v>
      </c>
      <c r="P5" s="2"/>
      <c r="Q5" s="1" t="s">
        <v>18</v>
      </c>
      <c r="R5" s="1">
        <f>AC16</f>
        <v>1</v>
      </c>
      <c r="AA5" s="1">
        <f>AC16</f>
        <v>1</v>
      </c>
      <c r="AD5" s="1" t="s">
        <v>19</v>
      </c>
      <c r="AE5" s="1">
        <f>IF(M15,4,IF(S15,AF5+1,IF(S17,AF5-1,AF5)))</f>
        <v>8</v>
      </c>
      <c r="AF5" s="1">
        <f t="shared" si="12"/>
        <v>8</v>
      </c>
      <c r="AI5" s="1" t="s">
        <v>19</v>
      </c>
      <c r="AL5" s="1" t="s">
        <v>20</v>
      </c>
      <c r="AN5" s="8"/>
    </row>
    <row r="6">
      <c r="A6" s="1">
        <v>3.0</v>
      </c>
      <c r="B6" s="10">
        <v>3.0</v>
      </c>
      <c r="C6" s="11">
        <v>3.0</v>
      </c>
      <c r="D6" s="1" t="s">
        <v>21</v>
      </c>
      <c r="E6" s="2"/>
      <c r="F6" s="5">
        <f t="shared" si="2"/>
        <v>1</v>
      </c>
      <c r="G6" s="5">
        <f t="shared" si="3"/>
        <v>0</v>
      </c>
      <c r="H6" s="5">
        <f t="shared" si="4"/>
        <v>0</v>
      </c>
      <c r="I6" s="5">
        <f t="shared" si="5"/>
        <v>0</v>
      </c>
      <c r="J6" s="5">
        <f t="shared" si="6"/>
        <v>0</v>
      </c>
      <c r="K6" s="5">
        <f t="shared" si="7"/>
        <v>0</v>
      </c>
      <c r="L6" s="5">
        <f t="shared" si="8"/>
        <v>0</v>
      </c>
      <c r="M6" s="5">
        <f t="shared" si="9"/>
        <v>0</v>
      </c>
      <c r="N6" s="5">
        <f t="shared" si="10"/>
        <v>0</v>
      </c>
      <c r="O6" s="5">
        <f t="shared" si="11"/>
        <v>1</v>
      </c>
      <c r="P6" s="2"/>
      <c r="Q6" s="5">
        <f>if(OR(J15,J16,I16,K16,M15),IF(M15,0,Q6+1),Q6)</f>
        <v>10</v>
      </c>
      <c r="R6" s="1">
        <f>AC16</f>
        <v>1</v>
      </c>
      <c r="AA6" s="1">
        <f>AC16</f>
        <v>1</v>
      </c>
      <c r="AE6" s="5" t="str">
        <f>CONCATENATE(AE4,"-",AE5)</f>
        <v>5-8</v>
      </c>
      <c r="AL6" s="1" t="s">
        <v>22</v>
      </c>
      <c r="AN6" s="8"/>
    </row>
    <row r="7">
      <c r="A7" s="1">
        <v>4.0</v>
      </c>
      <c r="B7" s="1">
        <v>4.0</v>
      </c>
      <c r="C7" s="12">
        <v>4.0</v>
      </c>
      <c r="D7" s="1" t="s">
        <v>23</v>
      </c>
      <c r="E7" s="2"/>
      <c r="F7" s="5">
        <f t="shared" si="2"/>
        <v>1</v>
      </c>
      <c r="G7" s="5">
        <f t="shared" si="3"/>
        <v>0</v>
      </c>
      <c r="H7" s="5">
        <f t="shared" si="4"/>
        <v>0</v>
      </c>
      <c r="I7" s="5">
        <f t="shared" si="5"/>
        <v>0</v>
      </c>
      <c r="J7" s="5">
        <f t="shared" si="6"/>
        <v>0</v>
      </c>
      <c r="K7" s="5">
        <f t="shared" si="7"/>
        <v>0</v>
      </c>
      <c r="L7" s="5">
        <f t="shared" si="8"/>
        <v>0</v>
      </c>
      <c r="M7" s="5">
        <f t="shared" si="9"/>
        <v>0</v>
      </c>
      <c r="N7" s="5">
        <f t="shared" si="10"/>
        <v>0</v>
      </c>
      <c r="O7" s="5">
        <f t="shared" si="11"/>
        <v>1</v>
      </c>
      <c r="P7" s="2"/>
      <c r="Q7" s="1" t="s">
        <v>24</v>
      </c>
      <c r="R7" s="1">
        <f>AC16</f>
        <v>1</v>
      </c>
      <c r="AA7" s="1">
        <f>AC16</f>
        <v>1</v>
      </c>
      <c r="AL7" s="1" t="s">
        <v>25</v>
      </c>
      <c r="AM7" s="1"/>
      <c r="AN7" s="8"/>
    </row>
    <row r="8">
      <c r="A8" s="1">
        <v>5.0</v>
      </c>
      <c r="B8" s="1">
        <v>5.0</v>
      </c>
      <c r="C8" s="1">
        <v>5.0</v>
      </c>
      <c r="E8" s="2"/>
      <c r="F8" s="5">
        <f t="shared" si="2"/>
        <v>1</v>
      </c>
      <c r="G8" s="5">
        <f t="shared" si="3"/>
        <v>0</v>
      </c>
      <c r="H8" s="5">
        <f t="shared" si="4"/>
        <v>0</v>
      </c>
      <c r="I8" s="5">
        <f t="shared" si="5"/>
        <v>0</v>
      </c>
      <c r="J8" s="5">
        <f t="shared" si="6"/>
        <v>0</v>
      </c>
      <c r="K8" s="5">
        <f t="shared" si="7"/>
        <v>0</v>
      </c>
      <c r="L8" s="5">
        <f t="shared" si="8"/>
        <v>0</v>
      </c>
      <c r="M8" s="5">
        <f t="shared" si="9"/>
        <v>0</v>
      </c>
      <c r="N8" s="5">
        <f t="shared" si="10"/>
        <v>0</v>
      </c>
      <c r="O8" s="5">
        <f t="shared" si="11"/>
        <v>1</v>
      </c>
      <c r="P8" s="2"/>
      <c r="Q8" s="1">
        <f>IF(EQ(M15,TRUE),0,IF(EQ(AI14,1),ADD(Q8,1),Q8))</f>
        <v>0</v>
      </c>
      <c r="R8" s="1">
        <f>AC16</f>
        <v>1</v>
      </c>
      <c r="AA8" s="1">
        <f>AC16</f>
        <v>1</v>
      </c>
    </row>
    <row r="9">
      <c r="A9" s="1">
        <v>6.0</v>
      </c>
      <c r="B9" s="1">
        <v>6.0</v>
      </c>
      <c r="C9" s="1">
        <v>6.0</v>
      </c>
      <c r="E9" s="2"/>
      <c r="F9" s="5">
        <f t="shared" si="2"/>
        <v>1</v>
      </c>
      <c r="G9" s="5">
        <f t="shared" si="3"/>
        <v>0</v>
      </c>
      <c r="H9" s="5">
        <f t="shared" si="4"/>
        <v>0</v>
      </c>
      <c r="I9" s="5">
        <f t="shared" si="5"/>
        <v>0</v>
      </c>
      <c r="J9" s="5">
        <f t="shared" si="6"/>
        <v>0</v>
      </c>
      <c r="K9" s="5">
        <f t="shared" si="7"/>
        <v>0</v>
      </c>
      <c r="L9" s="5">
        <f t="shared" si="8"/>
        <v>0</v>
      </c>
      <c r="M9" s="5">
        <f t="shared" si="9"/>
        <v>0</v>
      </c>
      <c r="N9" s="5">
        <f t="shared" si="10"/>
        <v>0</v>
      </c>
      <c r="O9" s="5">
        <f t="shared" si="11"/>
        <v>1</v>
      </c>
      <c r="P9" s="2"/>
      <c r="Q9" s="1" t="s">
        <v>26</v>
      </c>
      <c r="R9" s="1">
        <f>AC16</f>
        <v>1</v>
      </c>
      <c r="AA9" s="1">
        <f>AC16</f>
        <v>1</v>
      </c>
    </row>
    <row r="10">
      <c r="A10" s="1">
        <v>7.0</v>
      </c>
      <c r="B10" s="1">
        <v>7.0</v>
      </c>
      <c r="C10" s="1">
        <v>7.0</v>
      </c>
      <c r="E10" s="2"/>
      <c r="F10" s="5">
        <f t="shared" si="2"/>
        <v>1</v>
      </c>
      <c r="G10" s="5">
        <f t="shared" si="3"/>
        <v>0</v>
      </c>
      <c r="H10" s="5">
        <f t="shared" si="4"/>
        <v>0</v>
      </c>
      <c r="I10" s="5">
        <f t="shared" si="5"/>
        <v>0</v>
      </c>
      <c r="J10" s="5">
        <f t="shared" si="6"/>
        <v>0</v>
      </c>
      <c r="K10" s="5">
        <f t="shared" si="7"/>
        <v>0</v>
      </c>
      <c r="L10" s="5">
        <f t="shared" si="8"/>
        <v>0</v>
      </c>
      <c r="M10" s="5">
        <f t="shared" si="9"/>
        <v>0</v>
      </c>
      <c r="N10" s="5">
        <f t="shared" si="10"/>
        <v>0</v>
      </c>
      <c r="O10" s="5">
        <f t="shared" si="11"/>
        <v>1</v>
      </c>
      <c r="P10" s="2"/>
      <c r="Q10" s="5">
        <f>IF(F19,0,IF(Q8 &gt;Q10,Q8,Q10))</f>
        <v>0</v>
      </c>
      <c r="R10" s="1">
        <f>AC16</f>
        <v>1</v>
      </c>
      <c r="AA10" s="1">
        <f>AC16</f>
        <v>1</v>
      </c>
      <c r="AG10" s="1" t="s">
        <v>14</v>
      </c>
      <c r="AH10" s="1">
        <f>IF(AI16,RANDBETWEEN(1,8),AH10)</f>
        <v>8</v>
      </c>
      <c r="AL10" s="13"/>
    </row>
    <row r="11">
      <c r="A11" s="1">
        <v>8.0</v>
      </c>
      <c r="B11" s="1">
        <v>8.0</v>
      </c>
      <c r="C11" s="1">
        <v>8.0</v>
      </c>
      <c r="E11" s="2"/>
      <c r="F11" s="5">
        <f t="shared" si="2"/>
        <v>1</v>
      </c>
      <c r="G11" s="5">
        <f t="shared" ref="G11:O11" si="13">S11</f>
        <v>1</v>
      </c>
      <c r="H11" s="5">
        <f t="shared" si="13"/>
        <v>1</v>
      </c>
      <c r="I11" s="5">
        <f t="shared" si="13"/>
        <v>1</v>
      </c>
      <c r="J11" s="5">
        <f t="shared" si="13"/>
        <v>1</v>
      </c>
      <c r="K11" s="5">
        <f t="shared" si="13"/>
        <v>1</v>
      </c>
      <c r="L11" s="5">
        <f t="shared" si="13"/>
        <v>1</v>
      </c>
      <c r="M11" s="5">
        <f t="shared" si="13"/>
        <v>1</v>
      </c>
      <c r="N11" s="5">
        <f t="shared" si="13"/>
        <v>1</v>
      </c>
      <c r="O11" s="5">
        <f t="shared" si="13"/>
        <v>1</v>
      </c>
      <c r="P11" s="2"/>
      <c r="R11" s="1">
        <f>AC16</f>
        <v>1</v>
      </c>
      <c r="S11" s="1">
        <f>AC16</f>
        <v>1</v>
      </c>
      <c r="T11" s="1">
        <f>AC16</f>
        <v>1</v>
      </c>
      <c r="U11" s="1">
        <f>AC16</f>
        <v>1</v>
      </c>
      <c r="V11" s="1">
        <f>AC16</f>
        <v>1</v>
      </c>
      <c r="W11" s="1">
        <f>AC16</f>
        <v>1</v>
      </c>
      <c r="X11" s="1">
        <f>AC16</f>
        <v>1</v>
      </c>
      <c r="Y11" s="1">
        <f>AC16</f>
        <v>1</v>
      </c>
      <c r="Z11" s="1">
        <f>AC16</f>
        <v>1</v>
      </c>
      <c r="AA11" s="1">
        <f>AC16</f>
        <v>1</v>
      </c>
      <c r="AG11" s="1" t="s">
        <v>19</v>
      </c>
      <c r="AH11" s="1">
        <f>IF(AI16,RANDBETWEEN(1,8),AH11)</f>
        <v>7</v>
      </c>
      <c r="AL11" s="13"/>
    </row>
    <row r="12">
      <c r="A12" s="1">
        <v>9.0</v>
      </c>
      <c r="B12" s="1">
        <v>9.0</v>
      </c>
      <c r="C12" s="1">
        <v>9.0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R12" s="14"/>
      <c r="T12" s="1" t="s">
        <v>27</v>
      </c>
      <c r="W12" s="1"/>
      <c r="AB12" s="2"/>
      <c r="AD12" s="1" t="s">
        <v>28</v>
      </c>
      <c r="AI12" s="1"/>
    </row>
    <row r="13">
      <c r="A13" s="1">
        <v>10.0</v>
      </c>
      <c r="B13" s="1">
        <v>10.0</v>
      </c>
      <c r="C13" s="1">
        <v>10.0</v>
      </c>
      <c r="E13" s="2"/>
      <c r="F13" s="15" t="s">
        <v>29</v>
      </c>
      <c r="G13" s="16"/>
      <c r="P13" s="2"/>
      <c r="U13" s="1"/>
      <c r="W13" s="1"/>
      <c r="AD13" s="1" t="s">
        <v>30</v>
      </c>
      <c r="AI13" s="17" t="s">
        <v>31</v>
      </c>
      <c r="AM13" s="1" t="s">
        <v>32</v>
      </c>
    </row>
    <row r="14">
      <c r="E14" s="2"/>
      <c r="F14" s="1" t="s">
        <v>33</v>
      </c>
      <c r="K14" s="18" t="str">
        <f>IF(M15,"GAME OVER", " ")</f>
        <v> </v>
      </c>
      <c r="L14" s="1"/>
      <c r="P14" s="2"/>
      <c r="Q14" s="19"/>
      <c r="AI14" s="5">
        <f>IF(AND(EQ(SX,AJ4),EQ(SY,AK4)),1,0)</f>
        <v>0</v>
      </c>
      <c r="AM14" s="5">
        <f>IF(AND(EQ(SX,AJ4),EQ(SY,AK4)),1,0)</f>
        <v>0</v>
      </c>
    </row>
    <row r="15">
      <c r="A15" s="1" t="s">
        <v>13</v>
      </c>
      <c r="B15" s="1" t="b">
        <v>1</v>
      </c>
      <c r="D15" s="1" t="s">
        <v>34</v>
      </c>
      <c r="E15" s="2"/>
      <c r="F15" s="5">
        <f>G16</f>
        <v>0</v>
      </c>
      <c r="G15" s="5">
        <f>G16</f>
        <v>0</v>
      </c>
      <c r="H15" s="5">
        <f>G16</f>
        <v>0</v>
      </c>
      <c r="J15" s="1" t="b">
        <v>0</v>
      </c>
      <c r="M15" s="20" t="b">
        <f>IF(OR(M19,Q15),TRUE,FALSE)</f>
        <v>0</v>
      </c>
      <c r="P15" s="2"/>
      <c r="Q15" s="20" t="b">
        <f>IF(AD88,TRUE,FALSE)</f>
        <v>0</v>
      </c>
      <c r="S15" s="5" t="b">
        <f>J15</f>
        <v>0</v>
      </c>
      <c r="V15" s="21"/>
      <c r="W15" s="21"/>
      <c r="X15" s="1"/>
      <c r="AC15" s="1" t="s">
        <v>13</v>
      </c>
      <c r="AD15" s="1" t="s">
        <v>35</v>
      </c>
      <c r="AE15" s="1" t="s">
        <v>36</v>
      </c>
      <c r="AG15" s="1" t="s">
        <v>37</v>
      </c>
      <c r="AI15" s="1" t="s">
        <v>38</v>
      </c>
      <c r="AQ15" s="1" t="s">
        <v>39</v>
      </c>
    </row>
    <row r="16">
      <c r="D16" s="1" t="s">
        <v>40</v>
      </c>
      <c r="E16" s="2"/>
      <c r="F16" s="5">
        <f>G16</f>
        <v>0</v>
      </c>
      <c r="G16" s="5">
        <f>IF(OR(EQ(R16,TRUE),EQ(S15,TRUE),EQ(S17,TRUE),EQ(T16,TRUE),EQ(M15,TRUE)),1,0)</f>
        <v>0</v>
      </c>
      <c r="H16" s="5">
        <f>G16</f>
        <v>0</v>
      </c>
      <c r="I16" s="1" t="b">
        <v>0</v>
      </c>
      <c r="J16" s="1" t="b">
        <v>0</v>
      </c>
      <c r="K16" s="1" t="b">
        <v>0</v>
      </c>
      <c r="P16" s="2"/>
      <c r="Q16" s="19"/>
      <c r="R16" s="5" t="b">
        <f>I16</f>
        <v>0</v>
      </c>
      <c r="T16" s="5" t="b">
        <f>K16</f>
        <v>0</v>
      </c>
      <c r="V16" s="22" t="s">
        <v>41</v>
      </c>
      <c r="Z16" s="1">
        <v>1.0</v>
      </c>
      <c r="AA16" s="1">
        <v>8.0</v>
      </c>
      <c r="AB16" s="1" t="s">
        <v>42</v>
      </c>
      <c r="AC16" s="5">
        <f>IF(B15,1,AD1)</f>
        <v>1</v>
      </c>
      <c r="AD16" s="5">
        <f t="shared" ref="AD16:AD22" si="14">IF(AE16,AG16,0)</f>
        <v>0</v>
      </c>
      <c r="AE16" s="5">
        <f>IF(OR(AND(EQ(SY,AA16),EQ(SX,Z16)),AND(EQ(AJ4,Z16),EQ(AK4,AA16)),COUNTIF(AR22:AR90,CONCATENATE(Z16,"-",AA16))),1,0)</f>
        <v>0</v>
      </c>
      <c r="AG16" s="5">
        <f>IF(AND(EQ(AJ4,Z16),EQ(AK4,AA16)),2,IF(COUNTIF(AR20:AR90,CONCATENATE(Z16,"-",AA16)),4,3))</f>
        <v>3</v>
      </c>
      <c r="AH16" s="23"/>
      <c r="AI16" s="1">
        <f>IF(AM14,1,0)</f>
        <v>0</v>
      </c>
      <c r="AM16" s="1" t="s">
        <v>4</v>
      </c>
    </row>
    <row r="17">
      <c r="E17" s="2"/>
      <c r="F17" s="5">
        <f>G16</f>
        <v>0</v>
      </c>
      <c r="G17" s="5">
        <f>G16</f>
        <v>0</v>
      </c>
      <c r="H17" s="5">
        <f>G16</f>
        <v>0</v>
      </c>
      <c r="P17" s="2"/>
      <c r="S17" s="5" t="b">
        <f>J16</f>
        <v>0</v>
      </c>
      <c r="U17" s="1" t="s">
        <v>43</v>
      </c>
      <c r="Z17" s="1">
        <v>1.0</v>
      </c>
      <c r="AA17" s="1">
        <v>7.0</v>
      </c>
      <c r="AB17" s="1" t="s">
        <v>44</v>
      </c>
      <c r="AD17" s="5">
        <f t="shared" si="14"/>
        <v>0</v>
      </c>
      <c r="AE17" s="5">
        <f>IF(OR(AND(EQ(SY,AA17),EQ(SX,Z17)),AND(EQ(AJ4,Z17),EQ(AK4,AA17)),COUNTIF(AR22:AR90,CONCATENATE(Z17,"-",AA17))),1,0)</f>
        <v>0</v>
      </c>
      <c r="AG17" s="5">
        <f>IF(AND(EQ(AJ4,Z17),EQ(AK4,AA17)),2,IF(COUNTIF(AR20:AR90,CONCATENATE(Z17,"-",AA17)),4,3))</f>
        <v>3</v>
      </c>
      <c r="AH17" s="23"/>
      <c r="AM17" s="5">
        <f>IF(AI14,ADD(AM17,1),IF(M15,0,AM17))</f>
        <v>0</v>
      </c>
    </row>
    <row r="18">
      <c r="E18" s="2"/>
      <c r="F18" s="1" t="s">
        <v>45</v>
      </c>
      <c r="M18" s="1" t="s">
        <v>46</v>
      </c>
      <c r="P18" s="2"/>
      <c r="U18" s="1" t="s">
        <v>47</v>
      </c>
      <c r="V18" s="1" t="s">
        <v>48</v>
      </c>
      <c r="W18" s="1" t="s">
        <v>49</v>
      </c>
      <c r="X18" s="1" t="s">
        <v>50</v>
      </c>
      <c r="Z18" s="1">
        <v>1.0</v>
      </c>
      <c r="AA18" s="1">
        <v>6.0</v>
      </c>
      <c r="AB18" s="1" t="s">
        <v>51</v>
      </c>
      <c r="AD18" s="5">
        <f t="shared" si="14"/>
        <v>0</v>
      </c>
      <c r="AE18" s="5">
        <f>IF(OR(AND(EQ(SY,AA18),EQ(SX,Z18)),AND(EQ(AJ4,Z18),EQ(AK4,AA18)),COUNTIF(AR22:AR90,CONCATENATE(Z18,"-",AA18))),1,0)</f>
        <v>0</v>
      </c>
      <c r="AG18" s="5">
        <f>IF(AND(EQ(AJ4,Z18),EQ(AK4,AA18)),2,IF(COUNTIF(AR20:AR90,CONCATENATE(Z18,"-",AA18)),4,3))</f>
        <v>3</v>
      </c>
      <c r="AH18" s="23"/>
    </row>
    <row r="19">
      <c r="E19" s="2"/>
      <c r="F19" s="1" t="b">
        <v>0</v>
      </c>
      <c r="M19" s="1" t="b">
        <v>0</v>
      </c>
      <c r="P19" s="2"/>
      <c r="Q19" s="1"/>
      <c r="R19" s="1" t="s">
        <v>52</v>
      </c>
      <c r="S19" s="1" t="s">
        <v>53</v>
      </c>
      <c r="T19" s="1" t="s">
        <v>54</v>
      </c>
      <c r="W19" s="5">
        <f>SX</f>
        <v>5</v>
      </c>
      <c r="X19" s="5">
        <f>SY</f>
        <v>8</v>
      </c>
      <c r="Z19" s="1">
        <v>1.0</v>
      </c>
      <c r="AA19" s="1">
        <v>5.0</v>
      </c>
      <c r="AB19" s="1" t="s">
        <v>55</v>
      </c>
      <c r="AD19" s="5">
        <f t="shared" si="14"/>
        <v>0</v>
      </c>
      <c r="AE19" s="5">
        <f>IF(OR(AND(EQ(SY,AA19),EQ(SX,Z19)),AND(EQ(AJ4,Z19),EQ(AK4,AA19)),COUNTIF(AR22:AR90,CONCATENATE(Z19,"-",AA19))),1,0)</f>
        <v>0</v>
      </c>
      <c r="AG19" s="5">
        <f>IF(AND(EQ(AJ4,Z19),EQ(AK4,AA19)),2,IF(COUNTIF(AR20:AR90,CONCATENATE(Z19,"-",AA19)),4,3))</f>
        <v>3</v>
      </c>
      <c r="AH19" s="23"/>
    </row>
    <row r="20">
      <c r="E20" s="2"/>
      <c r="M20" s="1"/>
      <c r="P20" s="2"/>
      <c r="Q20" s="5">
        <f>IF(M15,0,IF(EQ(Q6,1),R20,Q20))</f>
        <v>1</v>
      </c>
      <c r="R20" s="1">
        <v>1.0</v>
      </c>
      <c r="S20" s="5">
        <f>Q6</f>
        <v>10</v>
      </c>
      <c r="W20" s="24">
        <f>IF(EQ(M15,TRUE),"R",IF(EQ(R20,S20),W19,W20))</f>
        <v>6</v>
      </c>
      <c r="X20" s="25">
        <f>IF(EQ(M15,TRUE),"R",IF(EQ(R20,S20),X19,X20))</f>
        <v>4</v>
      </c>
      <c r="Z20" s="1">
        <v>1.0</v>
      </c>
      <c r="AA20" s="1">
        <v>4.0</v>
      </c>
      <c r="AB20" s="1" t="s">
        <v>56</v>
      </c>
      <c r="AD20" s="5">
        <f t="shared" si="14"/>
        <v>0</v>
      </c>
      <c r="AE20" s="5">
        <f>IF(OR(AND(EQ(SY,AA20),EQ(SX,Z20)),AND(EQ(AJ4,Z20),EQ(AK4,AA20)),COUNTIF(AR22:AR90,CONCATENATE(Z20,"-",AA20))),1,0)</f>
        <v>0</v>
      </c>
      <c r="AG20" s="5">
        <f>IF(AND(EQ(AJ4,Z20),EQ(AK4,AA20)),2,IF(COUNTIF(AR20:AR90,CONCATENATE(Z20,"-",AA20)),4,3))</f>
        <v>3</v>
      </c>
      <c r="AH20" s="23"/>
      <c r="AM20" s="9" t="s">
        <v>57</v>
      </c>
      <c r="AN20" s="26"/>
    </row>
    <row r="21">
      <c r="E21" s="2"/>
      <c r="P21" s="2"/>
      <c r="Q21" s="27" t="s">
        <v>58</v>
      </c>
      <c r="R21" s="1">
        <v>2.0</v>
      </c>
      <c r="S21" s="28">
        <v>1.0</v>
      </c>
      <c r="T21" s="5">
        <f>IF(NOT(M15),IF(EQ(S20,S21),R20,T21),0)</f>
        <v>1</v>
      </c>
      <c r="W21" s="24">
        <f>IF(EQ(M15,TRUE),"R",IF(EQ(R21,S20),W19,W21))</f>
        <v>6</v>
      </c>
      <c r="X21" s="25">
        <f>IF(EQ(M15,TRUE),"R",IF(EQ(R21,S20),X19,X21))</f>
        <v>5</v>
      </c>
      <c r="Z21" s="1">
        <v>1.0</v>
      </c>
      <c r="AA21" s="1">
        <v>3.0</v>
      </c>
      <c r="AB21" s="1" t="s">
        <v>59</v>
      </c>
      <c r="AD21" s="5">
        <f t="shared" si="14"/>
        <v>0</v>
      </c>
      <c r="AE21" s="5">
        <f>IF(OR(AND(EQ(SY,AA21),EQ(SX,Z21)),AND(EQ(AJ4,Z21),EQ(AK4,AA21)),COUNTIF(AR22:AR90,CONCATENATE(Z21,"-",AA21))),1,0)</f>
        <v>0</v>
      </c>
      <c r="AG21" s="5">
        <f>IF(AND(EQ(AJ4,Z21),EQ(AK4,AA21)),2,IF(COUNTIF(AR20:AR90,CONCATENATE(Z21,"-",AA21)),4,3))</f>
        <v>3</v>
      </c>
      <c r="AH21" s="23"/>
      <c r="AM21" s="1" t="s">
        <v>60</v>
      </c>
      <c r="AN21" s="1" t="s">
        <v>61</v>
      </c>
      <c r="AO21" s="1" t="s">
        <v>62</v>
      </c>
      <c r="AP21" s="1" t="s">
        <v>5</v>
      </c>
      <c r="AQ21" s="1" t="s">
        <v>6</v>
      </c>
      <c r="AS21" s="5">
        <f>COUNTIF(AR22:AR90,CONCATENATE(AR15,"-",AS15))</f>
        <v>0</v>
      </c>
    </row>
    <row r="22">
      <c r="E22" s="2"/>
      <c r="F22" s="1"/>
      <c r="P22" s="2"/>
      <c r="R22" s="1">
        <v>3.0</v>
      </c>
      <c r="S22" s="28">
        <v>2.0</v>
      </c>
      <c r="T22" s="1">
        <f>IF(NOT(M15),IF(EQ(S20,S22),R20,T22),0)</f>
        <v>1</v>
      </c>
      <c r="W22" s="24">
        <f>IF(EQ(M15,TRUE),"R",IF(EQ(R22,S20),W19,W22))</f>
        <v>6</v>
      </c>
      <c r="X22" s="25">
        <f>IF(EQ(M15,TRUE),"R",IF(EQ(R22,S20),X19,X22))</f>
        <v>6</v>
      </c>
      <c r="Z22" s="1">
        <v>1.0</v>
      </c>
      <c r="AA22" s="1">
        <v>2.0</v>
      </c>
      <c r="AB22" s="1" t="s">
        <v>63</v>
      </c>
      <c r="AD22" s="5">
        <f t="shared" si="14"/>
        <v>0</v>
      </c>
      <c r="AE22" s="5">
        <f>IF(OR(AND(EQ(SY,AA22),EQ(SX,Z22)),AND(EQ(AJ4,Z22),EQ(AK4,AA22)),COUNTIF(AR22:AR90,CONCATENATE(Z22,"-",AA22))),1,0)</f>
        <v>0</v>
      </c>
      <c r="AG22" s="5">
        <f>IF(AND(EQ(AJ4,Z22),EQ(AK4,AA22)),2,IF(COUNTIF(AR20:AR90,CONCATENATE(Z22,"-",AA22)),4,3))</f>
        <v>3</v>
      </c>
      <c r="AH22" s="23"/>
      <c r="AM22" s="1">
        <f>Q8</f>
        <v>0</v>
      </c>
      <c r="AN22" s="1">
        <f>IFERROR(__xludf.DUMMYFUNCTION("FILTER(R20:R109,W20:W109 &lt;&gt; ""R"")"),1.0)</f>
        <v>1</v>
      </c>
      <c r="AO22" s="5">
        <f>IF(AN22 &gt;= ADD(S20,AM23),IF(EQ(AN22,S20),0,1),0)</f>
        <v>0</v>
      </c>
      <c r="AP22" s="5" t="str">
        <f t="shared" ref="AP22:AP90" si="15">IF(AO22,W20," ")</f>
        <v> </v>
      </c>
      <c r="AQ22" s="5" t="str">
        <f t="shared" ref="AQ22:AQ90" si="16">IF(AO22,X20," ")</f>
        <v> </v>
      </c>
      <c r="AR22" s="5" t="str">
        <f t="shared" ref="AR22:AR90" si="17">CONCATENATE(AP22,"-",AQ22)</f>
        <v> - </v>
      </c>
    </row>
    <row r="23">
      <c r="E23" s="2"/>
      <c r="N23" s="1"/>
      <c r="P23" s="2"/>
      <c r="R23" s="1">
        <v>4.0</v>
      </c>
      <c r="S23" s="28">
        <v>3.0</v>
      </c>
      <c r="T23" s="5">
        <f>IF(NOT(M15),IF(EQ(S20,S23),R20,T23),0)</f>
        <v>1</v>
      </c>
      <c r="W23" s="29">
        <f>IF(EQ(M15,TRUE),"R",IF(EQ(R23,S20),W19,W23))</f>
        <v>6</v>
      </c>
      <c r="X23" s="25">
        <f>IF(EQ(M15,TRUE),"R",IF(EQ(R23,S20),X19,X23))</f>
        <v>7</v>
      </c>
      <c r="Z23" s="1">
        <v>1.0</v>
      </c>
      <c r="AA23" s="1">
        <v>1.0</v>
      </c>
      <c r="AB23" s="1" t="s">
        <v>64</v>
      </c>
      <c r="AD23" s="5">
        <f>IF(EQ(AE23,1),AG23,0)</f>
        <v>0</v>
      </c>
      <c r="AE23" s="5">
        <f>IF(OR(AND(EQ(SY,AA23),EQ(SX,Z23)),AND(EQ(AJ4,Z23),EQ(AK4,AA23)),COUNTIF(AR22:AR90,CONCATENATE(Z23,"-",AA23))),1,0)</f>
        <v>0</v>
      </c>
      <c r="AG23" s="5">
        <f>IF(AND(EQ(AJ4,Z23),EQ(AK4,AA23)),2,IF(COUNTIF(AR20:AR90,CONCATENATE(Z23,"-",AA23)),4,3))</f>
        <v>3</v>
      </c>
      <c r="AH23" s="23"/>
      <c r="AM23" s="5">
        <f>ADD(MULTIPLY(AM22,-1),0)</f>
        <v>0</v>
      </c>
      <c r="AN23" s="5">
        <f>IFERROR(__xludf.DUMMYFUNCTION("""COMPUTED_VALUE"""),2.0)</f>
        <v>2</v>
      </c>
      <c r="AO23" s="5">
        <f>IF(AN23 &gt;= ADD(S20,AM23),IF(EQ(AN23,S20),0,1),0)</f>
        <v>0</v>
      </c>
      <c r="AP23" s="5" t="str">
        <f t="shared" si="15"/>
        <v> </v>
      </c>
      <c r="AQ23" s="5" t="str">
        <f t="shared" si="16"/>
        <v> </v>
      </c>
      <c r="AR23" s="5" t="str">
        <f t="shared" si="17"/>
        <v> - </v>
      </c>
    </row>
    <row r="24">
      <c r="E24" s="2"/>
      <c r="P24" s="2"/>
      <c r="R24" s="1">
        <v>5.0</v>
      </c>
      <c r="S24" s="28">
        <v>4.0</v>
      </c>
      <c r="T24" s="30">
        <f>IF(NOT(M15),IF(EQ(S20,S24),R20,T24),0)</f>
        <v>1</v>
      </c>
      <c r="W24" s="29">
        <f>IF(EQ(M15,TRUE),"R",IF(EQ(R24,S20),W19,W24))</f>
        <v>7</v>
      </c>
      <c r="X24" s="25">
        <f>IF(EQ(M15,TRUE),"R",IF(EQ(R24,S20),X19,X24))</f>
        <v>7</v>
      </c>
      <c r="AB24" s="31"/>
      <c r="AC24" s="31"/>
      <c r="AD24" s="5">
        <f t="shared" ref="AD24:AD86" si="18">IF(AE24,AG24,0)</f>
        <v>0</v>
      </c>
      <c r="AE24" s="5">
        <f>IF(OR(AND(EQ(SY,AA24),EQ(SX,Z24)),AND(EQ(AJ4,Z24),EQ(AK4,AA24)),COUNTIF(AR22:AR90,CONCATENATE(Z24,"-",AA24))),1,0)</f>
        <v>0</v>
      </c>
      <c r="AF24" s="31"/>
      <c r="AG24" s="5">
        <f>IF(AND(EQ(AJ4,Z24),EQ(AK4,AA24)),2,IF(COUNTIF(AR20:AR90,CONCATENATE(Z24,"-",AA24)),4,3))</f>
        <v>3</v>
      </c>
      <c r="AH24" s="31"/>
      <c r="AN24" s="5">
        <f>IFERROR(__xludf.DUMMYFUNCTION("""COMPUTED_VALUE"""),3.0)</f>
        <v>3</v>
      </c>
      <c r="AO24" s="5">
        <f>IF(AN24 &gt;= ADD(S20,AM23),IF(EQ(AN24,S20),0,1),0)</f>
        <v>0</v>
      </c>
      <c r="AP24" s="5" t="str">
        <f t="shared" si="15"/>
        <v> </v>
      </c>
      <c r="AQ24" s="5" t="str">
        <f t="shared" si="16"/>
        <v> </v>
      </c>
      <c r="AR24" s="5" t="str">
        <f t="shared" si="17"/>
        <v> - </v>
      </c>
    </row>
    <row r="25">
      <c r="E25" s="2"/>
      <c r="P25" s="2"/>
      <c r="R25" s="1">
        <v>6.0</v>
      </c>
      <c r="S25" s="28">
        <v>5.0</v>
      </c>
      <c r="T25" s="30">
        <f>IF(NOT(M15),IF(EQ(S20,S25),R20,T25),0)</f>
        <v>1</v>
      </c>
      <c r="W25" s="29">
        <f>IF(EQ(M15,TRUE),"R",IF(EQ(R25,S20),W19,W25))</f>
        <v>7</v>
      </c>
      <c r="X25" s="25">
        <f>IF(EQ(M15,TRUE),"R",IF(EQ(R25,S20),X19,X25))</f>
        <v>8</v>
      </c>
      <c r="Z25" s="1">
        <v>2.0</v>
      </c>
      <c r="AA25" s="1">
        <v>8.0</v>
      </c>
      <c r="AB25" s="1" t="s">
        <v>65</v>
      </c>
      <c r="AD25" s="5">
        <f t="shared" si="18"/>
        <v>0</v>
      </c>
      <c r="AE25" s="5">
        <f>IF(OR(AND(EQ(SY,AA25),EQ(SX,Z25)),AND(EQ(AJ4,Z25),EQ(AK4,AA25)),COUNTIF(AR22:AR90,CONCATENATE(Z25,"-",AA25))),1,0)</f>
        <v>0</v>
      </c>
      <c r="AG25" s="5">
        <f>IF(AND(EQ(AJ4,Z25),EQ(AK4,AA25)),2,IF(COUNTIF(AR20:AR90,CONCATENATE(Z25,"-",AA25)),4,3))</f>
        <v>3</v>
      </c>
      <c r="AH25" s="23"/>
      <c r="AN25" s="1">
        <f>IFERROR(__xludf.DUMMYFUNCTION("""COMPUTED_VALUE"""),4.0)</f>
        <v>4</v>
      </c>
      <c r="AO25" s="5">
        <f>IF(AN25 &gt;= ADD(S20,AM23),IF(EQ(AN25,S20),0,1),0)</f>
        <v>0</v>
      </c>
      <c r="AP25" s="5" t="str">
        <f t="shared" si="15"/>
        <v> </v>
      </c>
      <c r="AQ25" s="5" t="str">
        <f t="shared" si="16"/>
        <v> </v>
      </c>
      <c r="AR25" s="5" t="str">
        <f t="shared" si="17"/>
        <v> - </v>
      </c>
    </row>
    <row r="26">
      <c r="E26" s="2"/>
      <c r="P26" s="2"/>
      <c r="R26" s="1">
        <v>7.0</v>
      </c>
      <c r="S26" s="28">
        <v>6.0</v>
      </c>
      <c r="T26" s="30">
        <f>IF(NOT(M15),IF(EQ(S20,S26),R20,T26),0)</f>
        <v>1</v>
      </c>
      <c r="W26" s="29">
        <f>IF(EQ(M15,TRUE),"R",IF(EQ(R26,S20),W19,W26))</f>
        <v>6</v>
      </c>
      <c r="X26" s="25">
        <f>IF(EQ(M15,TRUE),"R",IF(EQ(R26,S20),X19,X26))</f>
        <v>8</v>
      </c>
      <c r="Z26" s="1">
        <v>2.0</v>
      </c>
      <c r="AA26" s="1">
        <v>7.0</v>
      </c>
      <c r="AB26" s="1" t="s">
        <v>66</v>
      </c>
      <c r="AD26" s="5">
        <f t="shared" si="18"/>
        <v>0</v>
      </c>
      <c r="AE26" s="5">
        <f>IF(OR(AND(EQ(SY,AA26),EQ(SX,Z26)),AND(EQ(AJ4,Z26),EQ(AK4,AA26)),COUNTIF(AR22:AR90,CONCATENATE(Z26,"-",AA26))),1,0)</f>
        <v>0</v>
      </c>
      <c r="AG26" s="5">
        <f>IF(AND(EQ(AJ4,Z26),EQ(AK4,AA26)),2,IF(COUNTIF(AR20:AR90,CONCATENATE(Z26,"-",AA26)),4,3))</f>
        <v>3</v>
      </c>
      <c r="AH26" s="23"/>
      <c r="AN26" s="5">
        <f>IFERROR(__xludf.DUMMYFUNCTION("""COMPUTED_VALUE"""),5.0)</f>
        <v>5</v>
      </c>
      <c r="AO26" s="5">
        <f>IF(AN26 &gt;= ADD(S20,AM23),IF(EQ(AN26,S20),0,1),0)</f>
        <v>0</v>
      </c>
      <c r="AP26" s="5" t="str">
        <f t="shared" si="15"/>
        <v> </v>
      </c>
      <c r="AQ26" s="5" t="str">
        <f t="shared" si="16"/>
        <v> </v>
      </c>
      <c r="AR26" s="5" t="str">
        <f t="shared" si="17"/>
        <v> - </v>
      </c>
    </row>
    <row r="27">
      <c r="E27" s="2"/>
      <c r="P27" s="2"/>
      <c r="R27" s="1">
        <v>8.0</v>
      </c>
      <c r="S27" s="28">
        <v>7.0</v>
      </c>
      <c r="T27" s="30">
        <f>IF(NOT(M15),IF(EQ(S20,S27),R20,T27),0)</f>
        <v>1</v>
      </c>
      <c r="W27" s="29">
        <f>IF(EQ(M15,TRUE),"R",IF(EQ(R27,S20),W19,W27))</f>
        <v>5</v>
      </c>
      <c r="X27" s="25">
        <f>IF(EQ(M15,TRUE),"R",IF(EQ(R27,S20),X19,X27))</f>
        <v>8</v>
      </c>
      <c r="Z27" s="1">
        <v>2.0</v>
      </c>
      <c r="AA27" s="1">
        <v>6.0</v>
      </c>
      <c r="AB27" s="1" t="s">
        <v>67</v>
      </c>
      <c r="AD27" s="5">
        <f t="shared" si="18"/>
        <v>0</v>
      </c>
      <c r="AE27" s="5">
        <f>IF(OR(AND(EQ(SY,AA27),EQ(SX,Z27)),AND(EQ(AJ4,Z27),EQ(AK4,AA27)),COUNTIF(AR22:AR90,CONCATENATE(Z27,"-",AA27))),1,0)</f>
        <v>0</v>
      </c>
      <c r="AG27" s="5">
        <f>IF(AND(EQ(AJ4,Z27),EQ(AK4,AA27)),2,IF(COUNTIF(AR20:AR90,CONCATENATE(Z27,"-",AA27)),4,3))</f>
        <v>3</v>
      </c>
      <c r="AH27" s="23"/>
      <c r="AN27" s="5">
        <f>IFERROR(__xludf.DUMMYFUNCTION("""COMPUTED_VALUE"""),6.0)</f>
        <v>6</v>
      </c>
      <c r="AO27" s="5">
        <f>IF(AN27 &gt;= ADD(S20,AM23),IF(EQ(AN27,S20),0,1),0)</f>
        <v>0</v>
      </c>
      <c r="AP27" s="5" t="str">
        <f t="shared" si="15"/>
        <v> </v>
      </c>
      <c r="AQ27" s="5" t="str">
        <f t="shared" si="16"/>
        <v> </v>
      </c>
      <c r="AR27" s="5" t="str">
        <f t="shared" si="17"/>
        <v> - </v>
      </c>
    </row>
    <row r="28">
      <c r="E28" s="2"/>
      <c r="P28" s="2"/>
      <c r="R28" s="1">
        <v>9.0</v>
      </c>
      <c r="S28" s="28">
        <v>8.0</v>
      </c>
      <c r="T28" s="30">
        <f>IF(NOT(M15),IF(EQ(S20,S28),R20,T28),0)</f>
        <v>1</v>
      </c>
      <c r="W28" s="29">
        <f>IF(EQ(M15,TRUE),"R",IF(EQ(R28,S20),W19,W28))</f>
        <v>4</v>
      </c>
      <c r="X28" s="25">
        <f>IF(EQ(M15,TRUE),"R",IF(EQ(R28,S20),X19,X28))</f>
        <v>8</v>
      </c>
      <c r="Z28" s="1">
        <v>2.0</v>
      </c>
      <c r="AA28" s="1">
        <v>5.0</v>
      </c>
      <c r="AB28" s="1" t="s">
        <v>68</v>
      </c>
      <c r="AD28" s="5">
        <f t="shared" si="18"/>
        <v>0</v>
      </c>
      <c r="AE28" s="5">
        <f>IF(OR(AND(EQ(SY,AA28),EQ(SX,Z28)),AND(EQ(AJ4,Z28),EQ(AK4,AA28)),COUNTIF(AR22:AR90,CONCATENATE(Z28,"-",AA28))),1,0)</f>
        <v>0</v>
      </c>
      <c r="AG28" s="5">
        <f>IF(AND(EQ(AJ4,Z28),EQ(AK4,AA28)),2,IF(COUNTIF(AR20:AR90,CONCATENATE(Z28,"-",AA28)),4,3))</f>
        <v>3</v>
      </c>
      <c r="AH28" s="23"/>
      <c r="AN28" s="5">
        <f>IFERROR(__xludf.DUMMYFUNCTION("""COMPUTED_VALUE"""),7.0)</f>
        <v>7</v>
      </c>
      <c r="AO28" s="5">
        <f>IF(AN28 &gt;= ADD(S20,AM23),IF(EQ(AN28,S20),0,1),0)</f>
        <v>0</v>
      </c>
      <c r="AP28" s="5" t="str">
        <f t="shared" si="15"/>
        <v> </v>
      </c>
      <c r="AQ28" s="5" t="str">
        <f t="shared" si="16"/>
        <v> </v>
      </c>
      <c r="AR28" s="5" t="str">
        <f t="shared" si="17"/>
        <v> - </v>
      </c>
    </row>
    <row r="29">
      <c r="E29" s="2"/>
      <c r="P29" s="2"/>
      <c r="R29" s="1">
        <v>10.0</v>
      </c>
      <c r="S29" s="28">
        <v>9.0</v>
      </c>
      <c r="T29" s="30"/>
      <c r="W29" s="29">
        <f>IF(EQ(M15,TRUE),"R",IF(EQ(R29,S20),W19,W29))</f>
        <v>5</v>
      </c>
      <c r="X29" s="25">
        <f>IF(EQ(M15,TRUE),"R",IF(EQ(R29,S20),X19,X29))</f>
        <v>8</v>
      </c>
      <c r="Z29" s="1">
        <v>2.0</v>
      </c>
      <c r="AA29" s="1">
        <v>4.0</v>
      </c>
      <c r="AB29" s="1" t="s">
        <v>69</v>
      </c>
      <c r="AD29" s="5">
        <f t="shared" si="18"/>
        <v>0</v>
      </c>
      <c r="AE29" s="5">
        <f>IF(OR(AND(EQ(SY,AA29),EQ(SX,Z29)),AND(EQ(AJ4,Z29),EQ(AK4,AA29)),COUNTIF(AR22:AR90,CONCATENATE(Z29,"-",AA29))),1,0)</f>
        <v>0</v>
      </c>
      <c r="AG29" s="5">
        <f>IF(AND(EQ(AJ4,Z29),EQ(AK4,AA29)),2,IF(COUNTIF(AR20:AR90,CONCATENATE(Z29,"-",AA29)),4,3))</f>
        <v>3</v>
      </c>
      <c r="AH29" s="23"/>
      <c r="AN29" s="5">
        <f>IFERROR(__xludf.DUMMYFUNCTION("""COMPUTED_VALUE"""),8.0)</f>
        <v>8</v>
      </c>
      <c r="AO29" s="5">
        <f>IF(AN29 &gt;= ADD(S20,AM23),IF(EQ(AN29,S20),0,1),0)</f>
        <v>0</v>
      </c>
      <c r="AP29" s="5" t="str">
        <f t="shared" si="15"/>
        <v> </v>
      </c>
      <c r="AQ29" s="5" t="str">
        <f t="shared" si="16"/>
        <v> </v>
      </c>
      <c r="AR29" s="5" t="str">
        <f t="shared" si="17"/>
        <v> - </v>
      </c>
    </row>
    <row r="30">
      <c r="E30" s="2"/>
      <c r="P30" s="2"/>
      <c r="R30" s="1">
        <v>11.0</v>
      </c>
      <c r="S30" s="28">
        <v>10.0</v>
      </c>
      <c r="T30" s="30"/>
      <c r="W30" s="29" t="str">
        <f>IF(EQ(M15,TRUE),"R",IF(EQ(R30,S20),W19,W30))</f>
        <v>R</v>
      </c>
      <c r="X30" s="25" t="str">
        <f>IF(EQ(M15,TRUE),"R",IF(EQ(R30,S20),X19,X30))</f>
        <v>R</v>
      </c>
      <c r="Z30" s="1">
        <v>2.0</v>
      </c>
      <c r="AA30" s="1">
        <v>3.0</v>
      </c>
      <c r="AB30" s="1" t="s">
        <v>70</v>
      </c>
      <c r="AD30" s="5">
        <f t="shared" si="18"/>
        <v>0</v>
      </c>
      <c r="AE30" s="5">
        <f>IF(OR(AND(EQ(SY,AA30),EQ(SX,Z30)),AND(EQ(AJ4,Z30),EQ(AK4,AA30)),COUNTIF(AR22:AR90,CONCATENATE(Z30,"-",AA30))),1,0)</f>
        <v>0</v>
      </c>
      <c r="AG30" s="5">
        <f>IF(AND(EQ(AJ4,Z30),EQ(AK4,AA30)),2,IF(COUNTIF(AR20:AR90,CONCATENATE(Z30,"-",AA30)),4,3))</f>
        <v>3</v>
      </c>
      <c r="AH30" s="23"/>
      <c r="AN30" s="5">
        <f>IFERROR(__xludf.DUMMYFUNCTION("""COMPUTED_VALUE"""),9.0)</f>
        <v>9</v>
      </c>
      <c r="AO30" s="5">
        <f>IF(AN30 &gt;= ADD(S20,AM23),IF(EQ(AN30,S20),0,1),0)</f>
        <v>0</v>
      </c>
      <c r="AP30" s="5" t="str">
        <f t="shared" si="15"/>
        <v> </v>
      </c>
      <c r="AQ30" s="5" t="str">
        <f t="shared" si="16"/>
        <v> </v>
      </c>
      <c r="AR30" s="5" t="str">
        <f t="shared" si="17"/>
        <v> - </v>
      </c>
    </row>
    <row r="31">
      <c r="E31" s="2"/>
      <c r="P31" s="2"/>
      <c r="R31" s="1">
        <v>12.0</v>
      </c>
      <c r="S31" s="28">
        <v>11.0</v>
      </c>
      <c r="T31" s="30"/>
      <c r="W31" s="29" t="str">
        <f>IF(EQ(M15,TRUE),"R",IF(EQ(R31,S20),W19,W31))</f>
        <v>R</v>
      </c>
      <c r="X31" s="25" t="str">
        <f>IF(EQ(M15,TRUE),"R",IF(EQ(R31,S20),X19,X31))</f>
        <v>R</v>
      </c>
      <c r="Z31" s="1">
        <v>2.0</v>
      </c>
      <c r="AA31" s="1">
        <v>2.0</v>
      </c>
      <c r="AB31" s="1" t="s">
        <v>71</v>
      </c>
      <c r="AD31" s="5">
        <f t="shared" si="18"/>
        <v>0</v>
      </c>
      <c r="AE31" s="5">
        <f>IF(OR(AND(EQ(SY,AA31),EQ(SX,Z31)),AND(EQ(AJ4,Z31),EQ(AK4,AA31)),COUNTIF(AR22:AR90,CONCATENATE(Z31,"-",AA31))),1,0)</f>
        <v>0</v>
      </c>
      <c r="AG31" s="5">
        <f>IF(AND(EQ(AJ4,Z31),EQ(AK4,AA31)),2,IF(COUNTIF(AR20:AR90,CONCATENATE(Z31,"-",AA31)),4,3))</f>
        <v>3</v>
      </c>
      <c r="AH31" s="23"/>
      <c r="AN31" s="5">
        <f>IFERROR(__xludf.DUMMYFUNCTION("""COMPUTED_VALUE"""),10.0)</f>
        <v>10</v>
      </c>
      <c r="AO31" s="5">
        <f>IF(AN31 &gt;= ADD(S20,AM23),IF(EQ(AN31,S20),0,1),0)</f>
        <v>0</v>
      </c>
      <c r="AP31" s="5" t="str">
        <f t="shared" si="15"/>
        <v> </v>
      </c>
      <c r="AQ31" s="5" t="str">
        <f t="shared" si="16"/>
        <v> </v>
      </c>
      <c r="AR31" s="5" t="str">
        <f t="shared" si="17"/>
        <v> - </v>
      </c>
    </row>
    <row r="32">
      <c r="E32" s="2"/>
      <c r="P32" s="2"/>
      <c r="R32" s="1">
        <v>13.0</v>
      </c>
      <c r="S32" s="28">
        <v>12.0</v>
      </c>
      <c r="T32" s="30"/>
      <c r="W32" s="29" t="str">
        <f>IF(EQ(M15,TRUE),"R",IF(EQ(R32,S20),W19,W32))</f>
        <v>R</v>
      </c>
      <c r="X32" s="25" t="str">
        <f>IF(EQ(M15,TRUE),"R",IF(EQ(R32,S20),X19,X32))</f>
        <v>R</v>
      </c>
      <c r="Z32" s="1">
        <v>2.0</v>
      </c>
      <c r="AA32" s="1">
        <v>1.0</v>
      </c>
      <c r="AB32" s="1" t="s">
        <v>72</v>
      </c>
      <c r="AD32" s="5">
        <f t="shared" si="18"/>
        <v>0</v>
      </c>
      <c r="AE32" s="5">
        <f>IF(OR(AND(EQ(SY,AA32),EQ(SX,Z32)),AND(EQ(AJ4,Z32),EQ(AK4,AA32)),COUNTIF(AR22:AR90,CONCATENATE(Z32,"-",AA32))),1,0)</f>
        <v>0</v>
      </c>
      <c r="AG32" s="5">
        <f>IF(AND(EQ(AJ4,Z32),EQ(AK4,AA32)),2,IF(COUNTIF(AR20:AR90,CONCATENATE(Z32,"-",AA32)),4,3))</f>
        <v>3</v>
      </c>
      <c r="AH32" s="23"/>
      <c r="AO32" s="5">
        <f>IF(AN32 &gt;= ADD(S20,AM23),IF(EQ(AN32,S20),0,1),0)</f>
        <v>0</v>
      </c>
      <c r="AP32" s="5" t="str">
        <f t="shared" si="15"/>
        <v> </v>
      </c>
      <c r="AQ32" s="5" t="str">
        <f t="shared" si="16"/>
        <v> </v>
      </c>
      <c r="AR32" s="5" t="str">
        <f t="shared" si="17"/>
        <v> - </v>
      </c>
    </row>
    <row r="33">
      <c r="E33" s="2"/>
      <c r="P33" s="2"/>
      <c r="R33" s="1">
        <v>14.0</v>
      </c>
      <c r="S33" s="28">
        <v>13.0</v>
      </c>
      <c r="T33" s="30"/>
      <c r="W33" s="29" t="str">
        <f>IF(EQ(M15,TRUE),"R",IF(EQ(R33,S20),W19,W33))</f>
        <v>R</v>
      </c>
      <c r="X33" s="25" t="str">
        <f>IF(EQ(M15,TRUE),"R",IF(EQ(R33,S20),X19,X33))</f>
        <v>R</v>
      </c>
      <c r="Z33" s="1" t="s">
        <v>5</v>
      </c>
      <c r="AA33" s="1" t="s">
        <v>6</v>
      </c>
      <c r="AB33" s="32"/>
      <c r="AC33" s="32"/>
      <c r="AD33" s="5">
        <f t="shared" si="18"/>
        <v>0</v>
      </c>
      <c r="AE33" s="5">
        <f>IF(OR(AND(EQ(SY,AA33),EQ(SX,Z33)),AND(EQ(AJ4,Z33),EQ(AK4,AA33)),COUNTIF(AR22:AR90,CONCATENATE(Z33,"-",AA33))),1,0)</f>
        <v>0</v>
      </c>
      <c r="AF33" s="32"/>
      <c r="AG33" s="5">
        <f>IF(AND(EQ(AJ4,Z33),EQ(AK4,AA33)),2,IF(COUNTIF(AR20:AR90,CONCATENATE(Z33,"-",AA33)),4,3))</f>
        <v>3</v>
      </c>
      <c r="AH33" s="32"/>
      <c r="AO33" s="5">
        <f>IF(AN33 &gt;= ADD(S20,AM23),IF(EQ(AN33,S20),0,1),0)</f>
        <v>0</v>
      </c>
      <c r="AP33" s="5" t="str">
        <f t="shared" si="15"/>
        <v> </v>
      </c>
      <c r="AQ33" s="5" t="str">
        <f t="shared" si="16"/>
        <v> </v>
      </c>
      <c r="AR33" s="5" t="str">
        <f t="shared" si="17"/>
        <v> - </v>
      </c>
    </row>
    <row r="34">
      <c r="E34" s="2"/>
      <c r="P34" s="2"/>
      <c r="R34" s="1">
        <v>15.0</v>
      </c>
      <c r="S34" s="28">
        <v>14.0</v>
      </c>
      <c r="T34" s="30"/>
      <c r="W34" s="29" t="str">
        <f>IF(EQ(M15,TRUE),"R",IF(EQ(R34,S20),W19,W34))</f>
        <v>R</v>
      </c>
      <c r="X34" s="25" t="str">
        <f>IF(EQ(M15,TRUE),"R",IF(EQ(R34,S20),X19,X34))</f>
        <v>R</v>
      </c>
      <c r="Z34" s="1">
        <v>3.0</v>
      </c>
      <c r="AA34" s="1">
        <v>8.0</v>
      </c>
      <c r="AD34" s="5">
        <f t="shared" si="18"/>
        <v>0</v>
      </c>
      <c r="AE34" s="5">
        <f>IF(OR(AND(EQ(SY,AA34),EQ(SX,Z34)),AND(EQ(AJ4,Z34),EQ(AK4,AA34)),COUNTIF(AR22:AR90,CONCATENATE(Z34,"-",AA34))),1,0)</f>
        <v>0</v>
      </c>
      <c r="AG34" s="5">
        <f>IF(AND(EQ(AJ4,Z34),EQ(AK4,AA34)),2,IF(COUNTIF(AR20:AR90,CONCATENATE(Z34,"-",AA34)),4,3))</f>
        <v>3</v>
      </c>
      <c r="AH34" s="23"/>
      <c r="AO34" s="5">
        <f>IF(AN34 &gt;= ADD(S20,AM23),IF(EQ(AN34,S20),0,1),0)</f>
        <v>0</v>
      </c>
      <c r="AP34" s="5" t="str">
        <f t="shared" si="15"/>
        <v> </v>
      </c>
      <c r="AQ34" s="5" t="str">
        <f t="shared" si="16"/>
        <v> </v>
      </c>
      <c r="AR34" s="5" t="str">
        <f t="shared" si="17"/>
        <v> - </v>
      </c>
    </row>
    <row r="35">
      <c r="E35" s="2"/>
      <c r="P35" s="2"/>
      <c r="R35" s="1">
        <v>16.0</v>
      </c>
      <c r="S35" s="28">
        <v>15.0</v>
      </c>
      <c r="T35" s="30"/>
      <c r="W35" s="29" t="str">
        <f>IF(EQ(M15,TRUE),"R",IF(EQ(R35,S20),W19,W35))</f>
        <v>R</v>
      </c>
      <c r="X35" s="25" t="str">
        <f>IF(EQ(M15,TRUE),"R",IF(EQ(R35,S20),X19,X35))</f>
        <v>R</v>
      </c>
      <c r="Z35" s="1">
        <v>3.0</v>
      </c>
      <c r="AA35" s="1">
        <v>7.0</v>
      </c>
      <c r="AD35" s="5">
        <f t="shared" si="18"/>
        <v>0</v>
      </c>
      <c r="AE35" s="5">
        <f>IF(OR(AND(EQ(SY,AA35),EQ(SX,Z35)),AND(EQ(AJ4,Z35),EQ(AK4,AA35)),COUNTIF(AR22:AR90,CONCATENATE(Z35,"-",AA35))),1,0)</f>
        <v>0</v>
      </c>
      <c r="AG35" s="5">
        <f>IF(AND(EQ(AJ4,Z35),EQ(AK4,AA35)),2,IF(COUNTIF(AR20:AR90,CONCATENATE(Z35,"-",AA35)),4,3))</f>
        <v>3</v>
      </c>
      <c r="AH35" s="23"/>
      <c r="AO35" s="5">
        <f>IF(AN35 &gt;= ADD(S20,AM23),IF(EQ(AN35,S20),0,1),0)</f>
        <v>0</v>
      </c>
      <c r="AP35" s="5" t="str">
        <f t="shared" si="15"/>
        <v> </v>
      </c>
      <c r="AQ35" s="5" t="str">
        <f t="shared" si="16"/>
        <v> </v>
      </c>
      <c r="AR35" s="5" t="str">
        <f t="shared" si="17"/>
        <v> - </v>
      </c>
    </row>
    <row r="36">
      <c r="E36" s="2"/>
      <c r="P36" s="2"/>
      <c r="R36" s="1">
        <v>17.0</v>
      </c>
      <c r="S36" s="28">
        <v>16.0</v>
      </c>
      <c r="T36" s="30"/>
      <c r="W36" s="29" t="str">
        <f>IF(EQ(M15,TRUE),"R",IF(EQ(R36,S20),W19,W36))</f>
        <v>R</v>
      </c>
      <c r="X36" s="25" t="str">
        <f>IF(EQ(M15,TRUE),"R",IF(EQ(R36,S20),X19,X36))</f>
        <v>R</v>
      </c>
      <c r="Z36" s="1">
        <v>3.0</v>
      </c>
      <c r="AA36" s="1">
        <v>6.0</v>
      </c>
      <c r="AD36" s="5">
        <f t="shared" si="18"/>
        <v>2</v>
      </c>
      <c r="AE36" s="5">
        <f>IF(OR(AND(EQ(SY,AA36),EQ(SX,Z36)),AND(EQ(AJ4,Z36),EQ(AK4,AA36)),COUNTIF(AR22:AR90,CONCATENATE(Z36,"-",AA36))),1,0)</f>
        <v>1</v>
      </c>
      <c r="AG36" s="5">
        <f>IF(AND(EQ(AJ4,Z36),EQ(AK4,AA36)),2,IF(COUNTIF(AR20:AR90,CONCATENATE(Z36,"-",AA36)),4,3))</f>
        <v>2</v>
      </c>
      <c r="AH36" s="23"/>
      <c r="AO36" s="5">
        <f>IF(AN36 &gt;= ADD(S20,AM23),IF(EQ(AN36,S20),0,1),0)</f>
        <v>0</v>
      </c>
      <c r="AP36" s="5" t="str">
        <f t="shared" si="15"/>
        <v> </v>
      </c>
      <c r="AQ36" s="5" t="str">
        <f t="shared" si="16"/>
        <v> </v>
      </c>
      <c r="AR36" s="5" t="str">
        <f t="shared" si="17"/>
        <v> - </v>
      </c>
    </row>
    <row r="37">
      <c r="E37" s="2"/>
      <c r="P37" s="2"/>
      <c r="R37" s="1">
        <v>18.0</v>
      </c>
      <c r="S37" s="28">
        <v>17.0</v>
      </c>
      <c r="T37" s="30"/>
      <c r="W37" s="29" t="str">
        <f>IF(EQ(M15,TRUE),"R",IF(EQ(R37,S20),W19,W37))</f>
        <v>R</v>
      </c>
      <c r="X37" s="25" t="str">
        <f>IF(EQ(M15,TRUE),"R",IF(EQ(R37,S20),X19,X37))</f>
        <v>R</v>
      </c>
      <c r="Z37" s="1">
        <v>3.0</v>
      </c>
      <c r="AA37" s="1">
        <v>5.0</v>
      </c>
      <c r="AD37" s="5">
        <f t="shared" si="18"/>
        <v>0</v>
      </c>
      <c r="AE37" s="5">
        <f>IF(OR(AND(EQ(SY,AA37),EQ(SX,Z37)),AND(EQ(AJ4,Z37),EQ(AK4,AA37)),COUNTIF(AR22:AR90,CONCATENATE(Z37,"-",AA37))),1,0)</f>
        <v>0</v>
      </c>
      <c r="AG37" s="5">
        <f>IF(AND(EQ(AJ4,Z37),EQ(AK4,AA37)),2,IF(COUNTIF(AR20:AR90,CONCATENATE(Z37,"-",AA37)),4,3))</f>
        <v>3</v>
      </c>
      <c r="AH37" s="23"/>
      <c r="AO37" s="5">
        <f>IF(AN37 &gt;= ADD(S20,AM23),IF(EQ(AN37,S20),0,1),0)</f>
        <v>0</v>
      </c>
      <c r="AP37" s="5" t="str">
        <f t="shared" si="15"/>
        <v> </v>
      </c>
      <c r="AQ37" s="5" t="str">
        <f t="shared" si="16"/>
        <v> </v>
      </c>
      <c r="AR37" s="5" t="str">
        <f t="shared" si="17"/>
        <v> - </v>
      </c>
    </row>
    <row r="38">
      <c r="E38" s="2"/>
      <c r="P38" s="2"/>
      <c r="R38" s="1">
        <v>19.0</v>
      </c>
      <c r="S38" s="28">
        <v>18.0</v>
      </c>
      <c r="T38" s="30"/>
      <c r="W38" s="29" t="str">
        <f>IF(EQ(M15,TRUE),"R",IF(EQ(R38,S20),W19,W38))</f>
        <v>R</v>
      </c>
      <c r="X38" s="25" t="str">
        <f>IF(EQ(M15,TRUE),"R",IF(EQ(R38,S20),X19,X38))</f>
        <v>R</v>
      </c>
      <c r="Z38" s="1">
        <v>3.0</v>
      </c>
      <c r="AA38" s="1">
        <v>4.0</v>
      </c>
      <c r="AD38" s="5">
        <f t="shared" si="18"/>
        <v>0</v>
      </c>
      <c r="AE38" s="5">
        <f>IF(OR(AND(EQ(SY,AA38),EQ(SX,Z38)),AND(EQ(AJ4,Z38),EQ(AK4,AA38)),COUNTIF(AR22:AR90,CONCATENATE(Z38,"-",AA38))),1,0)</f>
        <v>0</v>
      </c>
      <c r="AG38" s="5">
        <f>IF(AND(EQ(AJ4,Z38),EQ(AK4,AA38)),2,IF(COUNTIF(AR20:AR90,CONCATENATE(Z38,"-",AA38)),4,3))</f>
        <v>3</v>
      </c>
      <c r="AH38" s="23"/>
      <c r="AO38" s="5">
        <f>IF(AN38 &gt;= ADD(S20,AM23),IF(EQ(AN38,S20),0,1),0)</f>
        <v>0</v>
      </c>
      <c r="AP38" s="5" t="str">
        <f t="shared" si="15"/>
        <v> </v>
      </c>
      <c r="AQ38" s="5" t="str">
        <f t="shared" si="16"/>
        <v> </v>
      </c>
      <c r="AR38" s="5" t="str">
        <f t="shared" si="17"/>
        <v> - </v>
      </c>
    </row>
    <row r="39">
      <c r="E39" s="2"/>
      <c r="P39" s="2"/>
      <c r="R39" s="1">
        <v>20.0</v>
      </c>
      <c r="S39" s="28">
        <v>19.0</v>
      </c>
      <c r="T39" s="30"/>
      <c r="W39" s="29" t="str">
        <f>IF(EQ(M15,TRUE),"R",IF(EQ(R39,S20),W19,W39))</f>
        <v>R</v>
      </c>
      <c r="X39" s="25" t="str">
        <f>IF(EQ(M15,TRUE),"R",IF(EQ(R39,S20),X19,X39))</f>
        <v>R</v>
      </c>
      <c r="Z39" s="1">
        <v>3.0</v>
      </c>
      <c r="AA39" s="1">
        <v>3.0</v>
      </c>
      <c r="AD39" s="5">
        <f t="shared" si="18"/>
        <v>0</v>
      </c>
      <c r="AE39" s="5">
        <f>IF(OR(AND(EQ(SY,AA39),EQ(SX,Z39)),AND(EQ(AJ4,Z39),EQ(AK4,AA39)),COUNTIF(AR22:AR90,CONCATENATE(Z39,"-",AA39))),1,0)</f>
        <v>0</v>
      </c>
      <c r="AG39" s="5">
        <f>IF(AND(EQ(AJ4,Z39),EQ(AK4,AA39)),2,IF(COUNTIF(AR20:AR90,CONCATENATE(Z39,"-",AA39)),4,3))</f>
        <v>3</v>
      </c>
      <c r="AH39" s="23"/>
      <c r="AO39" s="1">
        <f>IF(AN39 &gt;= ADD(S20,AM23),IF(EQ(AN39,S20),0,1),0)</f>
        <v>0</v>
      </c>
      <c r="AP39" s="5" t="str">
        <f t="shared" si="15"/>
        <v> </v>
      </c>
      <c r="AQ39" s="5" t="str">
        <f t="shared" si="16"/>
        <v> </v>
      </c>
      <c r="AR39" s="5" t="str">
        <f t="shared" si="17"/>
        <v> - </v>
      </c>
    </row>
    <row r="40">
      <c r="E40" s="2"/>
      <c r="P40" s="2"/>
      <c r="R40" s="1">
        <v>21.0</v>
      </c>
      <c r="S40" s="28">
        <v>20.0</v>
      </c>
      <c r="T40" s="30"/>
      <c r="W40" s="29" t="str">
        <f>IF(EQ(M15,TRUE),"R",IF(EQ(R40,S20),W19,W40))</f>
        <v>R</v>
      </c>
      <c r="X40" s="25" t="str">
        <f>IF(EQ(M15,TRUE),"R",IF(EQ(R40,S20),X19,X40))</f>
        <v>R</v>
      </c>
      <c r="Z40" s="1">
        <v>3.0</v>
      </c>
      <c r="AA40" s="1">
        <v>2.0</v>
      </c>
      <c r="AD40" s="5">
        <f t="shared" si="18"/>
        <v>0</v>
      </c>
      <c r="AE40" s="5">
        <f>IF(OR(AND(EQ(SY,AA40),EQ(SX,Z40)),AND(EQ(AJ4,Z40),EQ(AK4,AA40)),COUNTIF(AR22:AR90,CONCATENATE(Z40,"-",AA40))),1,0)</f>
        <v>0</v>
      </c>
      <c r="AG40" s="5">
        <f>IF(AND(EQ(AJ4,Z40),EQ(AK4,AA40)),2,IF(COUNTIF(AR20:AR90,CONCATENATE(Z40,"-",AA40)),4,3))</f>
        <v>3</v>
      </c>
      <c r="AH40" s="23"/>
      <c r="AO40" s="5">
        <f>IF(AN40 &gt;= ADD(S20,AM23),IF(EQ(AN40,S20),0,1),0)</f>
        <v>0</v>
      </c>
      <c r="AP40" s="5" t="str">
        <f t="shared" si="15"/>
        <v> </v>
      </c>
      <c r="AQ40" s="5" t="str">
        <f t="shared" si="16"/>
        <v> </v>
      </c>
      <c r="AR40" s="5" t="str">
        <f t="shared" si="17"/>
        <v> - </v>
      </c>
    </row>
    <row r="41">
      <c r="E41" s="2"/>
      <c r="P41" s="2"/>
      <c r="R41" s="1">
        <v>22.0</v>
      </c>
      <c r="S41" s="28">
        <v>21.0</v>
      </c>
      <c r="T41" s="30"/>
      <c r="W41" s="29" t="str">
        <f>IF(EQ(M15,TRUE),"R",IF(EQ(R41,S20),W19,W41))</f>
        <v>R</v>
      </c>
      <c r="X41" s="25" t="str">
        <f>IF(EQ(M15,TRUE),"R",IF(EQ(R41,S20),X19,X41))</f>
        <v>R</v>
      </c>
      <c r="Z41" s="1">
        <v>3.0</v>
      </c>
      <c r="AA41" s="1">
        <v>1.0</v>
      </c>
      <c r="AD41" s="5">
        <f t="shared" si="18"/>
        <v>0</v>
      </c>
      <c r="AE41" s="5">
        <f>IF(OR(AND(EQ(SY,AA41),EQ(SX,Z41)),AND(EQ(AJ4,Z41),EQ(AK4,AA41)),COUNTIF(AR22:AR90,CONCATENATE(Z41,"-",AA41))),1,0)</f>
        <v>0</v>
      </c>
      <c r="AG41" s="5">
        <f>IF(AND(EQ(AJ4,Z41),EQ(AK4,AA41)),2,IF(COUNTIF(AR20:AR90,CONCATENATE(Z41,"-",AA41)),4,3))</f>
        <v>3</v>
      </c>
      <c r="AH41" s="23"/>
      <c r="AO41" s="5">
        <f>IF(AN41 &gt;= ADD(S20,AM23),IF(EQ(AN41,S20),0,1),0)</f>
        <v>0</v>
      </c>
      <c r="AP41" s="5" t="str">
        <f t="shared" si="15"/>
        <v> </v>
      </c>
      <c r="AQ41" s="5" t="str">
        <f t="shared" si="16"/>
        <v> </v>
      </c>
      <c r="AR41" s="5" t="str">
        <f t="shared" si="17"/>
        <v> - </v>
      </c>
    </row>
    <row r="42">
      <c r="E42" s="2"/>
      <c r="P42" s="2"/>
      <c r="R42" s="1">
        <v>23.0</v>
      </c>
      <c r="S42" s="28">
        <v>22.0</v>
      </c>
      <c r="T42" s="30"/>
      <c r="W42" s="29" t="str">
        <f>IF(EQ(M15,TRUE),"R",IF(EQ(R42,S20),W19,W42))</f>
        <v>R</v>
      </c>
      <c r="X42" s="25" t="str">
        <f>IF(EQ(M15,TRUE),"R",IF(EQ(R42,S20),X19,X42))</f>
        <v>R</v>
      </c>
      <c r="AB42" s="32"/>
      <c r="AC42" s="32"/>
      <c r="AD42" s="5">
        <f t="shared" si="18"/>
        <v>0</v>
      </c>
      <c r="AE42" s="5">
        <f>IF(OR(AND(EQ(SY,AA42),EQ(SX,Z42)),AND(EQ(AJ4,Z42),EQ(AK4,AA42)),COUNTIF(AR22:AR90,CONCATENATE(Z42,"-",AA42))),1,0)</f>
        <v>0</v>
      </c>
      <c r="AF42" s="32"/>
      <c r="AG42" s="5">
        <f>IF(AND(EQ(AJ4,Z42),EQ(AK4,AA42)),2,IF(COUNTIF(AR20:AR90,CONCATENATE(Z42,"-",AA42)),4,3))</f>
        <v>3</v>
      </c>
      <c r="AH42" s="32"/>
      <c r="AO42" s="5">
        <f>IF(AN42 &gt;= ADD(S20,AM23),IF(EQ(AN42,S20),0,1),0)</f>
        <v>0</v>
      </c>
      <c r="AP42" s="5" t="str">
        <f t="shared" si="15"/>
        <v> </v>
      </c>
      <c r="AQ42" s="5" t="str">
        <f t="shared" si="16"/>
        <v> </v>
      </c>
      <c r="AR42" s="5" t="str">
        <f t="shared" si="17"/>
        <v> - </v>
      </c>
    </row>
    <row r="43">
      <c r="E43" s="2"/>
      <c r="P43" s="2"/>
      <c r="R43" s="1">
        <v>24.0</v>
      </c>
      <c r="S43" s="28">
        <v>23.0</v>
      </c>
      <c r="T43" s="30"/>
      <c r="W43" s="29" t="str">
        <f>IF(EQ(M15,TRUE),"R",IF(EQ(R43,S20),W19,W43))</f>
        <v>R</v>
      </c>
      <c r="X43" s="25" t="str">
        <f>IF(EQ(M15,TRUE),"R",IF(EQ(R43,S20),X19,X43))</f>
        <v>R</v>
      </c>
      <c r="Z43" s="1">
        <v>4.0</v>
      </c>
      <c r="AA43" s="1">
        <v>8.0</v>
      </c>
      <c r="AD43" s="5">
        <f t="shared" si="18"/>
        <v>0</v>
      </c>
      <c r="AE43" s="5">
        <f>IF(OR(AND(EQ(SY,AA43),EQ(SX,Z43)),AND(EQ(AJ4,Z43),EQ(AK4,AA43)),COUNTIF(AR22:AR90,CONCATENATE(Z43,"-",AA43))),1,0)</f>
        <v>0</v>
      </c>
      <c r="AG43" s="5">
        <f>IF(AND(EQ(AJ4,Z43),EQ(AK4,AA43)),2,IF(COUNTIF(AR20:AR90,CONCATENATE(Z43,"-",AA43)),4,3))</f>
        <v>3</v>
      </c>
      <c r="AH43" s="23"/>
      <c r="AO43" s="5">
        <f>IF(AN43 &gt;= ADD(S20,AM23),IF(EQ(AN43,S20),0,1),0)</f>
        <v>0</v>
      </c>
      <c r="AP43" s="5" t="str">
        <f t="shared" si="15"/>
        <v> </v>
      </c>
      <c r="AQ43" s="5" t="str">
        <f t="shared" si="16"/>
        <v> </v>
      </c>
      <c r="AR43" s="5" t="str">
        <f t="shared" si="17"/>
        <v> - </v>
      </c>
    </row>
    <row r="44">
      <c r="E44" s="2"/>
      <c r="P44" s="2"/>
      <c r="R44" s="1">
        <v>25.0</v>
      </c>
      <c r="S44" s="28">
        <v>24.0</v>
      </c>
      <c r="T44" s="30"/>
      <c r="W44" s="29" t="str">
        <f>IF(EQ(M15,TRUE),"R",IF(EQ(R44,S20),W19,W44))</f>
        <v>R</v>
      </c>
      <c r="X44" s="25" t="str">
        <f>IF(EQ(M15,TRUE),"R",IF(EQ(R44,S20),X19,X44))</f>
        <v>R</v>
      </c>
      <c r="Z44" s="1">
        <v>4.0</v>
      </c>
      <c r="AA44" s="1">
        <v>7.0</v>
      </c>
      <c r="AD44" s="5">
        <f t="shared" si="18"/>
        <v>0</v>
      </c>
      <c r="AE44" s="5">
        <f>IF(OR(AND(EQ(SY,AA44),EQ(SX,Z44)),AND(EQ(AJ4,Z44),EQ(AK4,AA44)),COUNTIF(AR22:AR90,CONCATENATE(Z44,"-",AA44))),1,0)</f>
        <v>0</v>
      </c>
      <c r="AG44" s="5">
        <f>IF(AND(EQ(AJ4,Z44),EQ(AK4,AA44)),2,IF(COUNTIF(AR20:AR90,CONCATENATE(Z44,"-",AA44)),4,3))</f>
        <v>3</v>
      </c>
      <c r="AH44" s="23"/>
      <c r="AO44" s="5">
        <f>IF(AN44 &gt;= ADD(S20,AM23),IF(EQ(AN44,S20),0,1),0)</f>
        <v>0</v>
      </c>
      <c r="AP44" s="5" t="str">
        <f t="shared" si="15"/>
        <v> </v>
      </c>
      <c r="AQ44" s="5" t="str">
        <f t="shared" si="16"/>
        <v> </v>
      </c>
      <c r="AR44" s="5" t="str">
        <f t="shared" si="17"/>
        <v> - </v>
      </c>
    </row>
    <row r="45">
      <c r="E45" s="2"/>
      <c r="P45" s="2"/>
      <c r="R45" s="1">
        <v>26.0</v>
      </c>
      <c r="S45" s="28">
        <v>25.0</v>
      </c>
      <c r="T45" s="30"/>
      <c r="W45" s="29" t="str">
        <f>IF(EQ(M15,TRUE),"R",IF(EQ(R45,S20),W19,W45))</f>
        <v>R</v>
      </c>
      <c r="X45" s="25" t="str">
        <f>IF(EQ(M15,TRUE),"R",IF(EQ(R45,S20),X19,X45))</f>
        <v>R</v>
      </c>
      <c r="Z45" s="1">
        <v>4.0</v>
      </c>
      <c r="AA45" s="1">
        <v>6.0</v>
      </c>
      <c r="AD45" s="5">
        <f t="shared" si="18"/>
        <v>0</v>
      </c>
      <c r="AE45" s="5">
        <f>IF(OR(AND(EQ(SY,AA45),EQ(SX,Z45)),AND(EQ(AJ4,Z45),EQ(AK4,AA45)),COUNTIF(AR22:AR90,CONCATENATE(Z45,"-",AA45))),1,0)</f>
        <v>0</v>
      </c>
      <c r="AG45" s="5">
        <f>IF(AND(EQ(AJ4,Z45),EQ(AK4,AA45)),2,IF(COUNTIF(AR20:AR90,CONCATENATE(Z45,"-",AA45)),4,3))</f>
        <v>3</v>
      </c>
      <c r="AH45" s="23"/>
      <c r="AO45" s="5">
        <f>IF(AN45 &gt;= ADD(S20,AM23),IF(EQ(AN45,S20),0,1),0)</f>
        <v>0</v>
      </c>
      <c r="AP45" s="5" t="str">
        <f t="shared" si="15"/>
        <v> </v>
      </c>
      <c r="AQ45" s="5" t="str">
        <f t="shared" si="16"/>
        <v> </v>
      </c>
      <c r="AR45" s="5" t="str">
        <f t="shared" si="17"/>
        <v> - </v>
      </c>
    </row>
    <row r="46">
      <c r="E46" s="2"/>
      <c r="P46" s="2"/>
      <c r="R46" s="1">
        <v>27.0</v>
      </c>
      <c r="S46" s="28">
        <v>26.0</v>
      </c>
      <c r="T46" s="30"/>
      <c r="W46" s="29" t="str">
        <f>IF(EQ(M15,TRUE),"R",IF(EQ(R46,S20),W19,W46))</f>
        <v>R</v>
      </c>
      <c r="X46" s="25" t="str">
        <f>IF(EQ(M15,TRUE),"R",IF(EQ(R46,S20),X19,X46))</f>
        <v>R</v>
      </c>
      <c r="Z46" s="1">
        <v>4.0</v>
      </c>
      <c r="AA46" s="1">
        <v>5.0</v>
      </c>
      <c r="AD46" s="5">
        <f t="shared" si="18"/>
        <v>0</v>
      </c>
      <c r="AE46" s="5">
        <f>IF(OR(AND(EQ(SY,AA46),EQ(SX,Z46)),AND(EQ(AJ4,Z46),EQ(AK4,AA46)),COUNTIF(AR22:AR90,CONCATENATE(Z46,"-",AA46))),1,0)</f>
        <v>0</v>
      </c>
      <c r="AG46" s="5">
        <f>IF(AND(EQ(AJ4,Z46),EQ(AK4,AA46)),2,IF(COUNTIF(AR20:AR90,CONCATENATE(Z46,"-",AA46)),4,3))</f>
        <v>3</v>
      </c>
      <c r="AH46" s="23"/>
      <c r="AO46" s="5">
        <f>IF(AN46 &gt;= ADD(S20,AM23),IF(EQ(AN46,S20),0,1),0)</f>
        <v>0</v>
      </c>
      <c r="AP46" s="5" t="str">
        <f t="shared" si="15"/>
        <v> </v>
      </c>
      <c r="AQ46" s="5" t="str">
        <f t="shared" si="16"/>
        <v> </v>
      </c>
      <c r="AR46" s="5" t="str">
        <f t="shared" si="17"/>
        <v> - </v>
      </c>
    </row>
    <row r="47">
      <c r="E47" s="2"/>
      <c r="P47" s="2"/>
      <c r="R47" s="1">
        <v>28.0</v>
      </c>
      <c r="S47" s="28">
        <v>27.0</v>
      </c>
      <c r="T47" s="30"/>
      <c r="W47" s="29" t="str">
        <f>IF(EQ(M15,TRUE),"R",IF(EQ(R47,S20),W19,W47))</f>
        <v>R</v>
      </c>
      <c r="X47" s="25" t="str">
        <f>IF(EQ(M15,TRUE),"R",IF(EQ(R47,S20),X19,X47))</f>
        <v>R</v>
      </c>
      <c r="Z47" s="1">
        <v>4.0</v>
      </c>
      <c r="AA47" s="1">
        <v>4.0</v>
      </c>
      <c r="AD47" s="5">
        <f t="shared" si="18"/>
        <v>0</v>
      </c>
      <c r="AE47" s="5">
        <f>IF(OR(AND(EQ(SY,AA47),EQ(SX,Z47)),AND(EQ(AJ4,Z47),EQ(AK4,AA47)),COUNTIF(AR22:AR90,CONCATENATE(Z47,"-",AA47))),1,0)</f>
        <v>0</v>
      </c>
      <c r="AG47" s="5">
        <f>IF(AND(EQ(AJ4,Z47),EQ(AK4,AA47)),2,IF(COUNTIF(AR20:AR90,CONCATENATE(Z47,"-",AA47)),4,3))</f>
        <v>3</v>
      </c>
      <c r="AH47" s="23"/>
      <c r="AO47" s="5">
        <f>IF(AN47 &gt;= ADD(S20,AM23),IF(EQ(AN47,S20),0,1),0)</f>
        <v>0</v>
      </c>
      <c r="AP47" s="5" t="str">
        <f t="shared" si="15"/>
        <v> </v>
      </c>
      <c r="AQ47" s="5" t="str">
        <f t="shared" si="16"/>
        <v> </v>
      </c>
      <c r="AR47" s="5" t="str">
        <f t="shared" si="17"/>
        <v> - </v>
      </c>
    </row>
    <row r="48">
      <c r="E48" s="2"/>
      <c r="P48" s="2"/>
      <c r="R48" s="1">
        <v>29.0</v>
      </c>
      <c r="S48" s="28">
        <v>28.0</v>
      </c>
      <c r="T48" s="30"/>
      <c r="W48" s="29" t="str">
        <f>IF(EQ(M15,TRUE),"R",IF(EQ(R48,S20),W19,W48))</f>
        <v>R</v>
      </c>
      <c r="X48" s="25" t="str">
        <f>IF(EQ(M15,TRUE),"R",IF(EQ(R48,S20),X19,X48))</f>
        <v>R</v>
      </c>
      <c r="Z48" s="1">
        <v>4.0</v>
      </c>
      <c r="AA48" s="1">
        <v>3.0</v>
      </c>
      <c r="AD48" s="5">
        <f t="shared" si="18"/>
        <v>0</v>
      </c>
      <c r="AE48" s="5">
        <f>IF(OR(AND(EQ(SY,AA48),EQ(SX,Z48)),AND(EQ(AJ4,Z48),EQ(AK4,AA48)),COUNTIF(AR22:AR90,CONCATENATE(Z48,"-",AA48))),1,0)</f>
        <v>0</v>
      </c>
      <c r="AG48" s="5">
        <f>IF(AND(EQ(AJ4,Z48),EQ(AK4,AA48)),2,IF(COUNTIF(AR20:AR90,CONCATENATE(Z48,"-",AA48)),4,3))</f>
        <v>3</v>
      </c>
      <c r="AH48" s="23"/>
      <c r="AO48" s="5">
        <f>IF(AN48 &gt;= ADD(S20,AM23),IF(EQ(AN48,S20),0,1),0)</f>
        <v>0</v>
      </c>
      <c r="AP48" s="5" t="str">
        <f t="shared" si="15"/>
        <v> </v>
      </c>
      <c r="AQ48" s="5" t="str">
        <f t="shared" si="16"/>
        <v> </v>
      </c>
      <c r="AR48" s="5" t="str">
        <f t="shared" si="17"/>
        <v> - </v>
      </c>
    </row>
    <row r="49">
      <c r="E49" s="2"/>
      <c r="P49" s="2"/>
      <c r="R49" s="1">
        <v>30.0</v>
      </c>
      <c r="S49" s="28">
        <v>29.0</v>
      </c>
      <c r="W49" s="29" t="str">
        <f>IF(EQ(M15,TRUE),"R",IF(EQ(R49,S20),W19,W49))</f>
        <v>R</v>
      </c>
      <c r="X49" s="25" t="str">
        <f>IF(EQ(M15,TRUE),"R",IF(EQ(R49,S20),X19,X49))</f>
        <v>R</v>
      </c>
      <c r="Z49" s="1">
        <v>4.0</v>
      </c>
      <c r="AA49" s="1">
        <v>2.0</v>
      </c>
      <c r="AD49" s="5">
        <f t="shared" si="18"/>
        <v>0</v>
      </c>
      <c r="AE49" s="5">
        <f>IF(OR(AND(EQ(SY,AA49),EQ(SX,Z49)),AND(EQ(AJ4,Z49),EQ(AK4,AA49)),COUNTIF(AR22:AR90,CONCATENATE(Z49,"-",AA49))),1,0)</f>
        <v>0</v>
      </c>
      <c r="AG49" s="5">
        <f>IF(AND(EQ(AJ4,Z49),EQ(AK4,AA49)),2,IF(COUNTIF(AR20:AR90,CONCATENATE(Z49,"-",AA49)),4,3))</f>
        <v>3</v>
      </c>
      <c r="AH49" s="23"/>
      <c r="AO49" s="5">
        <f>IF(AN49 &gt;= ADD(S20,AM23),IF(EQ(AN49,S20),0,1),0)</f>
        <v>0</v>
      </c>
      <c r="AP49" s="5" t="str">
        <f t="shared" si="15"/>
        <v> </v>
      </c>
      <c r="AQ49" s="5" t="str">
        <f t="shared" si="16"/>
        <v> </v>
      </c>
      <c r="AR49" s="5" t="str">
        <f t="shared" si="17"/>
        <v> - </v>
      </c>
    </row>
    <row r="50">
      <c r="E50" s="2"/>
      <c r="P50" s="2"/>
      <c r="R50" s="1">
        <v>31.0</v>
      </c>
      <c r="S50" s="28">
        <v>30.0</v>
      </c>
      <c r="W50" s="29" t="str">
        <f>IF(EQ(M15,TRUE),"R",IF(EQ(R50,S20),W19,W50))</f>
        <v>R</v>
      </c>
      <c r="X50" s="25" t="str">
        <f>IF(EQ(M15,TRUE),"R",IF(EQ(R50,S20),X19,X50))</f>
        <v>R</v>
      </c>
      <c r="Z50" s="1">
        <v>4.0</v>
      </c>
      <c r="AA50" s="1">
        <v>1.0</v>
      </c>
      <c r="AD50" s="5">
        <f t="shared" si="18"/>
        <v>0</v>
      </c>
      <c r="AE50" s="5">
        <f>IF(OR(AND(EQ(SY,AA50),EQ(SX,Z50)),AND(EQ(AJ4,Z50),EQ(AK4,AA50)),COUNTIF(AR22:AR90,CONCATENATE(Z50,"-",AA50))),1,0)</f>
        <v>0</v>
      </c>
      <c r="AG50" s="5">
        <f>IF(AND(EQ(AJ4,Z50),EQ(AK4,AA50)),2,IF(COUNTIF(AR20:AR90,CONCATENATE(Z50,"-",AA50)),4,3))</f>
        <v>3</v>
      </c>
      <c r="AH50" s="23"/>
      <c r="AO50" s="5">
        <f>IF(AN50 &gt;= ADD(S20,AM23),IF(EQ(AN50,S20),0,1),0)</f>
        <v>0</v>
      </c>
      <c r="AP50" s="5" t="str">
        <f t="shared" si="15"/>
        <v> </v>
      </c>
      <c r="AQ50" s="5" t="str">
        <f t="shared" si="16"/>
        <v> </v>
      </c>
      <c r="AR50" s="5" t="str">
        <f t="shared" si="17"/>
        <v> - </v>
      </c>
    </row>
    <row r="51">
      <c r="E51" s="2"/>
      <c r="P51" s="2"/>
      <c r="R51" s="1">
        <v>32.0</v>
      </c>
      <c r="S51" s="28">
        <v>31.0</v>
      </c>
      <c r="W51" s="29" t="str">
        <f>IF(EQ(M15,TRUE),"R",IF(EQ(R51,S20),W19,W51))</f>
        <v>R</v>
      </c>
      <c r="X51" s="25" t="str">
        <f>IF(EQ(M15,TRUE),"R",IF(EQ(R51,S20),X19,X51))</f>
        <v>R</v>
      </c>
      <c r="AB51" s="32"/>
      <c r="AC51" s="32"/>
      <c r="AD51" s="5">
        <f t="shared" si="18"/>
        <v>0</v>
      </c>
      <c r="AE51" s="5">
        <f>IF(OR(AND(EQ(SY,AA51),EQ(SX,Z51)),AND(EQ(AJ4,Z51),EQ(AK4,AA51)),COUNTIF(AR22:AR90,CONCATENATE(Z51,"-",AA51))),1,0)</f>
        <v>0</v>
      </c>
      <c r="AF51" s="32"/>
      <c r="AG51" s="5">
        <f>IF(AND(EQ(AJ4,Z51),EQ(AK4,AA51)),2,IF(COUNTIF(AR20:AR90,CONCATENATE(Z51,"-",AA51)),4,3))</f>
        <v>3</v>
      </c>
      <c r="AH51" s="32"/>
      <c r="AO51" s="5">
        <f>IF(AN51 &gt;= ADD(S20,AM23),IF(EQ(AN51,S20),0,1),0)</f>
        <v>0</v>
      </c>
      <c r="AP51" s="5" t="str">
        <f t="shared" si="15"/>
        <v> </v>
      </c>
      <c r="AQ51" s="5" t="str">
        <f t="shared" si="16"/>
        <v> </v>
      </c>
      <c r="AR51" s="5" t="str">
        <f t="shared" si="17"/>
        <v> - </v>
      </c>
    </row>
    <row r="52">
      <c r="E52" s="2"/>
      <c r="P52" s="2"/>
      <c r="R52" s="1">
        <v>33.0</v>
      </c>
      <c r="S52" s="28">
        <v>32.0</v>
      </c>
      <c r="W52" s="29" t="str">
        <f>IF(EQ(M15,TRUE),"R",IF(EQ(R52,S20),W19,W52))</f>
        <v>R</v>
      </c>
      <c r="X52" s="25" t="str">
        <f>IF(EQ(M15,TRUE),"R",IF(EQ(R52,S20),X19,X52))</f>
        <v>R</v>
      </c>
      <c r="Z52" s="1">
        <v>5.0</v>
      </c>
      <c r="AA52" s="1">
        <v>8.0</v>
      </c>
      <c r="AD52" s="5">
        <f t="shared" si="18"/>
        <v>3</v>
      </c>
      <c r="AE52" s="5">
        <f>IF(OR(AND(EQ(SY,AA52),EQ(SX,Z52)),AND(EQ(AJ4,Z52),EQ(AK4,AA52)),COUNTIF(AR22:AR90,CONCATENATE(Z52,"-",AA52))),1,0)</f>
        <v>1</v>
      </c>
      <c r="AG52" s="5">
        <f>IF(AND(EQ(AJ4,Z52),EQ(AK4,AA52)),2,IF(COUNTIF(AR20:AR90,CONCATENATE(Z52,"-",AA52)),4,3))</f>
        <v>3</v>
      </c>
      <c r="AH52" s="23"/>
      <c r="AO52" s="5">
        <f>IF(AN52 &gt;= ADD(S20,AM23),IF(EQ(AN52,S20),0,1),0)</f>
        <v>0</v>
      </c>
      <c r="AP52" s="5" t="str">
        <f t="shared" si="15"/>
        <v> </v>
      </c>
      <c r="AQ52" s="5" t="str">
        <f t="shared" si="16"/>
        <v> </v>
      </c>
      <c r="AR52" s="5" t="str">
        <f t="shared" si="17"/>
        <v> - </v>
      </c>
    </row>
    <row r="53">
      <c r="E53" s="2"/>
      <c r="P53" s="2"/>
      <c r="R53" s="1">
        <v>34.0</v>
      </c>
      <c r="S53" s="28">
        <v>33.0</v>
      </c>
      <c r="W53" s="29" t="str">
        <f>IF(EQ(M15,TRUE),"R",IF(EQ(R53,S20),W19,W53))</f>
        <v>R</v>
      </c>
      <c r="X53" s="25" t="str">
        <f>IF(EQ(M15,TRUE),"R",IF(EQ(R53,S20),X19,X53))</f>
        <v>R</v>
      </c>
      <c r="Z53" s="1">
        <v>5.0</v>
      </c>
      <c r="AA53" s="1">
        <v>7.0</v>
      </c>
      <c r="AD53" s="5">
        <f t="shared" si="18"/>
        <v>0</v>
      </c>
      <c r="AE53" s="5">
        <f>IF(OR(AND(EQ(SY,AA53),EQ(SX,Z53)),AND(EQ(AJ4,Z53),EQ(AK4,AA53)),COUNTIF(AR22:AR90,CONCATENATE(Z53,"-",AA53))),1,0)</f>
        <v>0</v>
      </c>
      <c r="AG53" s="5">
        <f>IF(AND(EQ(AJ4,Z53),EQ(AK4,AA53)),2,IF(COUNTIF(AR20:AR90,CONCATENATE(Z53,"-",AA53)),4,3))</f>
        <v>3</v>
      </c>
      <c r="AH53" s="23"/>
      <c r="AO53" s="5">
        <f>IF(AN53 &gt;= ADD(S20,AM23),IF(EQ(AN53,S20),0,1),0)</f>
        <v>0</v>
      </c>
      <c r="AP53" s="5" t="str">
        <f t="shared" si="15"/>
        <v> </v>
      </c>
      <c r="AQ53" s="5" t="str">
        <f t="shared" si="16"/>
        <v> </v>
      </c>
      <c r="AR53" s="5" t="str">
        <f t="shared" si="17"/>
        <v> - </v>
      </c>
    </row>
    <row r="54">
      <c r="E54" s="2"/>
      <c r="P54" s="2"/>
      <c r="R54" s="1">
        <v>35.0</v>
      </c>
      <c r="S54" s="28">
        <v>34.0</v>
      </c>
      <c r="W54" s="29" t="str">
        <f>IF(EQ(M15,TRUE),"R",IF(EQ(R54,S20),W19,W54))</f>
        <v>R</v>
      </c>
      <c r="X54" s="25" t="str">
        <f>IF(EQ(M15,TRUE),"R",IF(EQ(R54,S20),X19,X54))</f>
        <v>R</v>
      </c>
      <c r="Z54" s="1">
        <v>5.0</v>
      </c>
      <c r="AA54" s="1">
        <v>6.0</v>
      </c>
      <c r="AD54" s="5">
        <f t="shared" si="18"/>
        <v>0</v>
      </c>
      <c r="AE54" s="5">
        <f>IF(OR(AND(EQ(SY,AA54),EQ(SX,Z54)),AND(EQ(AJ4,Z54),EQ(AK4,AA54)),COUNTIF(AR22:AR90,CONCATENATE(Z54,"-",AA54))),1,0)</f>
        <v>0</v>
      </c>
      <c r="AG54" s="5">
        <f>IF(AND(EQ(AJ4,Z54),EQ(AK4,AA54)),2,IF(COUNTIF(AR20:AR90,CONCATENATE(Z54,"-",AA54)),4,3))</f>
        <v>3</v>
      </c>
      <c r="AH54" s="23"/>
      <c r="AO54" s="5">
        <f>IF(AN54 &gt;= ADD(S20,AM23),IF(EQ(AN54,S20),0,1),0)</f>
        <v>0</v>
      </c>
      <c r="AP54" s="5" t="str">
        <f t="shared" si="15"/>
        <v> </v>
      </c>
      <c r="AQ54" s="5" t="str">
        <f t="shared" si="16"/>
        <v> </v>
      </c>
      <c r="AR54" s="5" t="str">
        <f t="shared" si="17"/>
        <v> - </v>
      </c>
    </row>
    <row r="55">
      <c r="E55" s="2"/>
      <c r="P55" s="2"/>
      <c r="R55" s="1">
        <v>36.0</v>
      </c>
      <c r="S55" s="28">
        <v>35.0</v>
      </c>
      <c r="W55" s="29" t="str">
        <f>IF(EQ(M15,TRUE),"R",IF(EQ(R55,S20),W19,W55))</f>
        <v>R</v>
      </c>
      <c r="X55" s="25" t="str">
        <f>IF(EQ(M15,TRUE),"R",IF(EQ(R55,S20),X19,X55))</f>
        <v>R</v>
      </c>
      <c r="Z55" s="1">
        <v>5.0</v>
      </c>
      <c r="AA55" s="1">
        <v>5.0</v>
      </c>
      <c r="AD55" s="5">
        <f t="shared" si="18"/>
        <v>0</v>
      </c>
      <c r="AE55" s="5">
        <f>IF(OR(AND(EQ(SY,AA55),EQ(SX,Z55)),AND(EQ(AJ4,Z55),EQ(AK4,AA55)),COUNTIF(AR22:AR90,CONCATENATE(Z55,"-",AA55))),1,0)</f>
        <v>0</v>
      </c>
      <c r="AG55" s="5">
        <f>IF(AND(EQ(AJ4,Z55),EQ(AK4,AA55)),2,IF(COUNTIF(AR20:AR90,CONCATENATE(Z55,"-",AA55)),4,3))</f>
        <v>3</v>
      </c>
      <c r="AH55" s="23"/>
      <c r="AO55" s="5">
        <f>IF(AN55 &gt;= ADD(S20,AM23),IF(EQ(AN55,S20),0,1),0)</f>
        <v>0</v>
      </c>
      <c r="AP55" s="5" t="str">
        <f t="shared" si="15"/>
        <v> </v>
      </c>
      <c r="AQ55" s="5" t="str">
        <f t="shared" si="16"/>
        <v> </v>
      </c>
      <c r="AR55" s="5" t="str">
        <f t="shared" si="17"/>
        <v> - </v>
      </c>
    </row>
    <row r="56">
      <c r="E56" s="2"/>
      <c r="P56" s="2"/>
      <c r="R56" s="1">
        <v>37.0</v>
      </c>
      <c r="S56" s="28">
        <v>36.0</v>
      </c>
      <c r="W56" s="29" t="str">
        <f>IF(EQ(M15,TRUE),"R",IF(EQ(R56,S20),W19,W56))</f>
        <v>R</v>
      </c>
      <c r="X56" s="25" t="str">
        <f>IF(EQ(M15,TRUE),"R",IF(EQ(R56,S20),X19,X56))</f>
        <v>R</v>
      </c>
      <c r="Z56" s="1">
        <v>5.0</v>
      </c>
      <c r="AA56" s="1">
        <v>4.0</v>
      </c>
      <c r="AD56" s="5">
        <f t="shared" si="18"/>
        <v>0</v>
      </c>
      <c r="AE56" s="5">
        <f>IF(OR(AND(EQ(SY,AA56),EQ(SX,Z56)),AND(EQ(AJ4,Z56),EQ(AK4,AA56)),COUNTIF(AR22:AR90,CONCATENATE(Z56,"-",AA56))),1,0)</f>
        <v>0</v>
      </c>
      <c r="AG56" s="5">
        <f>IF(AND(EQ(AJ4,Z56),EQ(AK4,AA56)),2,IF(COUNTIF(AR20:AR90,CONCATENATE(Z56,"-",AA56)),4,3))</f>
        <v>3</v>
      </c>
      <c r="AH56" s="23"/>
      <c r="AO56" s="5">
        <f>IF(AN56 &gt;= ADD(S20,AM23),IF(EQ(AN56,S20),0,1),0)</f>
        <v>0</v>
      </c>
      <c r="AP56" s="5" t="str">
        <f t="shared" si="15"/>
        <v> </v>
      </c>
      <c r="AQ56" s="5" t="str">
        <f t="shared" si="16"/>
        <v> </v>
      </c>
      <c r="AR56" s="5" t="str">
        <f t="shared" si="17"/>
        <v> - </v>
      </c>
    </row>
    <row r="57">
      <c r="E57" s="2"/>
      <c r="P57" s="2"/>
      <c r="R57" s="1">
        <v>38.0</v>
      </c>
      <c r="S57" s="28">
        <v>37.0</v>
      </c>
      <c r="W57" s="29" t="str">
        <f>IF(EQ(M15,TRUE),"R",IF(EQ(R57,S20),W19,W57))</f>
        <v>R</v>
      </c>
      <c r="X57" s="25" t="str">
        <f>IF(EQ(M15,TRUE),"R",IF(EQ(R57,S20),X19,X57))</f>
        <v>R</v>
      </c>
      <c r="Z57" s="1">
        <v>5.0</v>
      </c>
      <c r="AA57" s="1">
        <v>3.0</v>
      </c>
      <c r="AD57" s="5">
        <f t="shared" si="18"/>
        <v>0</v>
      </c>
      <c r="AE57" s="5">
        <f>IF(OR(AND(EQ(SY,AA57),EQ(SX,Z57)),AND(EQ(AJ4,Z57),EQ(AK4,AA57)),COUNTIF(AR22:AR90,CONCATENATE(Z57,"-",AA57))),1,0)</f>
        <v>0</v>
      </c>
      <c r="AG57" s="5">
        <f>IF(AND(EQ(AJ4,Z57),EQ(AK4,AA57)),2,IF(COUNTIF(AR20:AR90,CONCATENATE(Z57,"-",AA57)),4,3))</f>
        <v>3</v>
      </c>
      <c r="AH57" s="23"/>
      <c r="AO57" s="5">
        <f>IF(AN57 &gt;= ADD(S20,AM23),IF(EQ(AN57,S20),0,1),0)</f>
        <v>0</v>
      </c>
      <c r="AP57" s="5" t="str">
        <f t="shared" si="15"/>
        <v> </v>
      </c>
      <c r="AQ57" s="5" t="str">
        <f t="shared" si="16"/>
        <v> </v>
      </c>
      <c r="AR57" s="5" t="str">
        <f t="shared" si="17"/>
        <v> - </v>
      </c>
    </row>
    <row r="58">
      <c r="E58" s="2"/>
      <c r="P58" s="2"/>
      <c r="R58" s="1">
        <v>39.0</v>
      </c>
      <c r="S58" s="28">
        <v>38.0</v>
      </c>
      <c r="W58" s="29" t="str">
        <f>IF(EQ(M15,TRUE),"R",IF(EQ(R58,S20),W19,W58))</f>
        <v>R</v>
      </c>
      <c r="X58" s="25" t="str">
        <f>IF(EQ(M15,TRUE),"R",IF(EQ(R58,S20),X19,X58))</f>
        <v>R</v>
      </c>
      <c r="Z58" s="1">
        <v>5.0</v>
      </c>
      <c r="AA58" s="1">
        <v>2.0</v>
      </c>
      <c r="AD58" s="5">
        <f t="shared" si="18"/>
        <v>0</v>
      </c>
      <c r="AE58" s="5">
        <f>IF(OR(AND(EQ(SY,AA58),EQ(SX,Z58)),AND(EQ(AJ4,Z58),EQ(AK4,AA58)),COUNTIF(AR22:AR90,CONCATENATE(Z58,"-",AA58))),1,0)</f>
        <v>0</v>
      </c>
      <c r="AG58" s="5">
        <f>IF(AND(EQ(AJ4,Z58),EQ(AK4,AA58)),2,IF(COUNTIF(AR20:AR90,CONCATENATE(Z58,"-",AA58)),4,3))</f>
        <v>3</v>
      </c>
      <c r="AH58" s="23"/>
      <c r="AO58" s="5">
        <f>IF(AN58 &gt;= ADD(S20,AM23),IF(EQ(AN58,S20),0,1),0)</f>
        <v>0</v>
      </c>
      <c r="AP58" s="5" t="str">
        <f t="shared" si="15"/>
        <v> </v>
      </c>
      <c r="AQ58" s="5" t="str">
        <f t="shared" si="16"/>
        <v> </v>
      </c>
      <c r="AR58" s="5" t="str">
        <f t="shared" si="17"/>
        <v> - </v>
      </c>
    </row>
    <row r="59">
      <c r="E59" s="2"/>
      <c r="P59" s="2"/>
      <c r="R59" s="1">
        <v>40.0</v>
      </c>
      <c r="S59" s="28">
        <v>39.0</v>
      </c>
      <c r="W59" s="29" t="str">
        <f>IF(EQ(M15,TRUE),"R",IF(EQ(R59,S20),W19,W59))</f>
        <v>R</v>
      </c>
      <c r="X59" s="25" t="str">
        <f>IF(EQ(M15,TRUE),"R",IF(EQ(R59,S20),X19,X59))</f>
        <v>R</v>
      </c>
      <c r="Z59" s="1">
        <v>5.0</v>
      </c>
      <c r="AA59" s="1">
        <v>1.0</v>
      </c>
      <c r="AD59" s="5">
        <f t="shared" si="18"/>
        <v>0</v>
      </c>
      <c r="AE59" s="5">
        <f>IF(OR(AND(EQ(SY,AA59),EQ(SX,Z59)),AND(EQ(AJ4,Z59),EQ(AK4,AA59)),COUNTIF(AR22:AR90,CONCATENATE(Z59,"-",AA59))),1,0)</f>
        <v>0</v>
      </c>
      <c r="AG59" s="5">
        <f>IF(AND(EQ(AJ4,Z59),EQ(AK4,AA59)),2,IF(COUNTIF(AR20:AR90,CONCATENATE(Z59,"-",AA59)),4,3))</f>
        <v>3</v>
      </c>
      <c r="AH59" s="23"/>
      <c r="AO59" s="5">
        <f>IF(AN59 &gt;= ADD(S20,AM23),IF(EQ(AN59,S20),0,1),0)</f>
        <v>0</v>
      </c>
      <c r="AP59" s="5" t="str">
        <f t="shared" si="15"/>
        <v> </v>
      </c>
      <c r="AQ59" s="5" t="str">
        <f t="shared" si="16"/>
        <v> </v>
      </c>
      <c r="AR59" s="5" t="str">
        <f t="shared" si="17"/>
        <v> - </v>
      </c>
    </row>
    <row r="60">
      <c r="E60" s="2"/>
      <c r="P60" s="2"/>
      <c r="R60" s="1">
        <v>41.0</v>
      </c>
      <c r="S60" s="28">
        <v>40.0</v>
      </c>
      <c r="W60" s="29" t="str">
        <f>IF(EQ(M15,TRUE),"R",IF(EQ(R60,S20),W19,W60))</f>
        <v>R</v>
      </c>
      <c r="X60" s="25" t="str">
        <f>IF(EQ(M15,TRUE),"R",IF(EQ(R60,S20),X19,X60))</f>
        <v>R</v>
      </c>
      <c r="AB60" s="32"/>
      <c r="AC60" s="32"/>
      <c r="AD60" s="5">
        <f t="shared" si="18"/>
        <v>0</v>
      </c>
      <c r="AE60" s="5">
        <f>IF(OR(AND(EQ(SY,AA60),EQ(SX,Z60)),AND(EQ(AJ4,Z60),EQ(AK4,AA60)),COUNTIF(AR22:AR90,CONCATENATE(Z60,"-",AA60))),1,0)</f>
        <v>0</v>
      </c>
      <c r="AF60" s="32"/>
      <c r="AG60" s="5">
        <f>IF(AND(EQ(AJ4,Z60),EQ(AK4,AA60)),2,IF(COUNTIF(AR20:AR90,CONCATENATE(Z60,"-",AA60)),4,3))</f>
        <v>3</v>
      </c>
      <c r="AH60" s="32"/>
      <c r="AO60" s="5">
        <f>IF(AN60 &gt;= ADD(S20,AM23),IF(EQ(AN60,S20),0,1),0)</f>
        <v>0</v>
      </c>
      <c r="AP60" s="5" t="str">
        <f t="shared" si="15"/>
        <v> </v>
      </c>
      <c r="AQ60" s="5" t="str">
        <f t="shared" si="16"/>
        <v> </v>
      </c>
      <c r="AR60" s="5" t="str">
        <f t="shared" si="17"/>
        <v> - </v>
      </c>
    </row>
    <row r="61">
      <c r="E61" s="2"/>
      <c r="P61" s="2"/>
      <c r="R61" s="1">
        <v>42.0</v>
      </c>
      <c r="S61" s="28">
        <v>41.0</v>
      </c>
      <c r="W61" s="29" t="str">
        <f>IF(EQ(M15,TRUE),"R",IF(EQ(R61,S20),W19,W61))</f>
        <v>R</v>
      </c>
      <c r="X61" s="25" t="str">
        <f>IF(EQ(M15,TRUE),"R",IF(EQ(R61,S20),X19,X61))</f>
        <v>R</v>
      </c>
      <c r="Z61" s="1">
        <v>6.0</v>
      </c>
      <c r="AA61" s="1">
        <v>8.0</v>
      </c>
      <c r="AD61" s="5">
        <f t="shared" si="18"/>
        <v>0</v>
      </c>
      <c r="AE61" s="5">
        <f>IF(OR(AND(EQ(SY,AA61),EQ(SX,Z61)),AND(EQ(AJ4,Z61),EQ(AK4,AA61)),COUNTIF(AR22:AR90,CONCATENATE(Z61,"-",AA61))),1,0)</f>
        <v>0</v>
      </c>
      <c r="AG61" s="5">
        <f>IF(AND(EQ(AJ4,Z61),EQ(AK4,AA61)),2,IF(COUNTIF(AR20:AR90,CONCATENATE(Z61,"-",AA61)),4,3))</f>
        <v>3</v>
      </c>
      <c r="AH61" s="23"/>
      <c r="AO61" s="5">
        <f>IF(AN61 &gt;= ADD(S20,AM23),IF(EQ(AN61,S20),0,1),0)</f>
        <v>0</v>
      </c>
      <c r="AP61" s="5" t="str">
        <f t="shared" si="15"/>
        <v> </v>
      </c>
      <c r="AQ61" s="5" t="str">
        <f t="shared" si="16"/>
        <v> </v>
      </c>
      <c r="AR61" s="5" t="str">
        <f t="shared" si="17"/>
        <v> - </v>
      </c>
    </row>
    <row r="62">
      <c r="E62" s="2"/>
      <c r="P62" s="2"/>
      <c r="R62" s="1">
        <v>43.0</v>
      </c>
      <c r="S62" s="28">
        <v>42.0</v>
      </c>
      <c r="W62" s="29" t="str">
        <f>IF(EQ(M15,TRUE),"R",IF(EQ(R62,S20),W19,W62))</f>
        <v>R</v>
      </c>
      <c r="X62" s="25" t="str">
        <f>IF(EQ(M15,TRUE),"R",IF(EQ(R62,S20),X19,X62))</f>
        <v>R</v>
      </c>
      <c r="Z62" s="1">
        <v>6.0</v>
      </c>
      <c r="AA62" s="1">
        <v>7.0</v>
      </c>
      <c r="AD62" s="5">
        <f t="shared" si="18"/>
        <v>0</v>
      </c>
      <c r="AE62" s="5">
        <f>IF(OR(AND(EQ(SY,AA62),EQ(SX,Z62)),AND(EQ(AJ4,Z62),EQ(AK4,AA62)),COUNTIF(AR22:AR90,CONCATENATE(Z62,"-",AA62))),1,0)</f>
        <v>0</v>
      </c>
      <c r="AG62" s="5">
        <f>IF(AND(EQ(AJ4,Z62),EQ(AK4,AA62)),2,IF(COUNTIF(AR20:AR90,CONCATENATE(Z62,"-",AA62)),4,3))</f>
        <v>3</v>
      </c>
      <c r="AH62" s="23"/>
      <c r="AO62" s="5">
        <f>IF(AN62 &gt;= ADD(S20,AM23),IF(EQ(AN62,S20),0,1),0)</f>
        <v>0</v>
      </c>
      <c r="AP62" s="5" t="str">
        <f t="shared" si="15"/>
        <v> </v>
      </c>
      <c r="AQ62" s="5" t="str">
        <f t="shared" si="16"/>
        <v> </v>
      </c>
      <c r="AR62" s="5" t="str">
        <f t="shared" si="17"/>
        <v> - </v>
      </c>
    </row>
    <row r="63">
      <c r="E63" s="2"/>
      <c r="P63" s="2"/>
      <c r="R63" s="1">
        <v>44.0</v>
      </c>
      <c r="S63" s="28">
        <v>43.0</v>
      </c>
      <c r="W63" s="29" t="str">
        <f>IF(EQ(M15,TRUE),"R",IF(EQ(R63,S20),W19,W63))</f>
        <v>R</v>
      </c>
      <c r="X63" s="25" t="str">
        <f>IF(EQ(M15,TRUE),"R",IF(EQ(R63,S20),X19,X63))</f>
        <v>R</v>
      </c>
      <c r="Z63" s="1">
        <v>6.0</v>
      </c>
      <c r="AA63" s="1">
        <v>6.0</v>
      </c>
      <c r="AD63" s="5">
        <f t="shared" si="18"/>
        <v>0</v>
      </c>
      <c r="AE63" s="5">
        <f>IF(OR(AND(EQ(SY,AA63),EQ(SX,Z63)),AND(EQ(AJ4,Z63),EQ(AK4,AA63)),COUNTIF(AR22:AR90,CONCATENATE(Z63,"-",AA63))),1,0)</f>
        <v>0</v>
      </c>
      <c r="AG63" s="5">
        <f>IF(AND(EQ(AJ4,Z63),EQ(AK4,AA63)),2,IF(COUNTIF(AR20:AR90,CONCATENATE(Z63,"-",AA63)),4,3))</f>
        <v>3</v>
      </c>
      <c r="AH63" s="23"/>
      <c r="AO63" s="5">
        <f>IF(AN63 &gt;= ADD(S20,AM23),IF(EQ(AN63,S20),0,1),0)</f>
        <v>0</v>
      </c>
      <c r="AP63" s="5" t="str">
        <f t="shared" si="15"/>
        <v> </v>
      </c>
      <c r="AQ63" s="5" t="str">
        <f t="shared" si="16"/>
        <v> </v>
      </c>
      <c r="AR63" s="5" t="str">
        <f t="shared" si="17"/>
        <v> - </v>
      </c>
    </row>
    <row r="64">
      <c r="E64" s="2"/>
      <c r="P64" s="2"/>
      <c r="R64" s="1">
        <v>45.0</v>
      </c>
      <c r="S64" s="28">
        <v>44.0</v>
      </c>
      <c r="W64" s="29" t="str">
        <f>IF(EQ(M15,TRUE),"R",IF(EQ(R64,S20),W19,W64))</f>
        <v>R</v>
      </c>
      <c r="X64" s="25" t="str">
        <f>IF(EQ(M15,TRUE),"R",IF(EQ(R64,S20),X19,X64))</f>
        <v>R</v>
      </c>
      <c r="Z64" s="1">
        <v>6.0</v>
      </c>
      <c r="AA64" s="1">
        <v>5.0</v>
      </c>
      <c r="AD64" s="5">
        <f t="shared" si="18"/>
        <v>0</v>
      </c>
      <c r="AE64" s="5">
        <f>IF(OR(AND(EQ(SY,AA64),EQ(SX,Z64)),AND(EQ(AJ4,Z64),EQ(AK4,AA64)),COUNTIF(AR22:AR90,CONCATENATE(Z64,"-",AA64))),1,0)</f>
        <v>0</v>
      </c>
      <c r="AG64" s="5">
        <f>IF(AND(EQ(AJ4,Z64),EQ(AK4,AA64)),2,IF(COUNTIF(AR20:AR90,CONCATENATE(Z64,"-",AA64)),4,3))</f>
        <v>3</v>
      </c>
      <c r="AH64" s="23"/>
      <c r="AO64" s="5">
        <f>IF(AN64 &gt;= ADD(S20,AM23),IF(EQ(AN64,S20),0,1),0)</f>
        <v>0</v>
      </c>
      <c r="AP64" s="5" t="str">
        <f t="shared" si="15"/>
        <v> </v>
      </c>
      <c r="AQ64" s="5" t="str">
        <f t="shared" si="16"/>
        <v> </v>
      </c>
      <c r="AR64" s="5" t="str">
        <f t="shared" si="17"/>
        <v> - </v>
      </c>
    </row>
    <row r="65">
      <c r="E65" s="2"/>
      <c r="P65" s="2"/>
      <c r="R65" s="1">
        <v>46.0</v>
      </c>
      <c r="S65" s="28">
        <v>45.0</v>
      </c>
      <c r="W65" s="29" t="str">
        <f>IF(EQ(M15,TRUE),"R",IF(EQ(R65,S20),W19,W65))</f>
        <v>R</v>
      </c>
      <c r="X65" s="25" t="str">
        <f>IF(EQ(M15,TRUE),"R",IF(EQ(R65,S20),X19,X65))</f>
        <v>R</v>
      </c>
      <c r="Z65" s="1">
        <v>6.0</v>
      </c>
      <c r="AA65" s="1">
        <v>4.0</v>
      </c>
      <c r="AD65" s="5">
        <f t="shared" si="18"/>
        <v>0</v>
      </c>
      <c r="AE65" s="5">
        <f>IF(OR(AND(EQ(SY,AA65),EQ(SX,Z65)),AND(EQ(AJ4,Z65),EQ(AK4,AA65)),COUNTIF(AR22:AR90,CONCATENATE(Z65,"-",AA65))),1,0)</f>
        <v>0</v>
      </c>
      <c r="AG65" s="5">
        <f>IF(AND(EQ(AJ4,Z65),EQ(AK4,AA65)),2,IF(COUNTIF(AR20:AR90,CONCATENATE(Z65,"-",AA65)),4,3))</f>
        <v>3</v>
      </c>
      <c r="AH65" s="23"/>
      <c r="AO65" s="5">
        <f>IF(AN65 &gt;= ADD(S20,AM23),IF(EQ(AN65,S20),0,1),0)</f>
        <v>0</v>
      </c>
      <c r="AP65" s="5" t="str">
        <f t="shared" si="15"/>
        <v> </v>
      </c>
      <c r="AQ65" s="5" t="str">
        <f t="shared" si="16"/>
        <v> </v>
      </c>
      <c r="AR65" s="5" t="str">
        <f t="shared" si="17"/>
        <v> - </v>
      </c>
    </row>
    <row r="66">
      <c r="E66" s="2"/>
      <c r="P66" s="2"/>
      <c r="R66" s="1">
        <v>47.0</v>
      </c>
      <c r="S66" s="28">
        <v>46.0</v>
      </c>
      <c r="W66" s="29" t="str">
        <f>IF(EQ(M15,TRUE),"R",IF(EQ(R66,S20),W19,W66))</f>
        <v>R</v>
      </c>
      <c r="X66" s="25" t="str">
        <f>IF(EQ(M15,TRUE),"R",IF(EQ(R66,S20),X19,X66))</f>
        <v>R</v>
      </c>
      <c r="Z66" s="1">
        <v>6.0</v>
      </c>
      <c r="AA66" s="1">
        <v>3.0</v>
      </c>
      <c r="AD66" s="5">
        <f t="shared" si="18"/>
        <v>0</v>
      </c>
      <c r="AE66" s="5">
        <f>IF(OR(AND(EQ(SY,AA66),EQ(SX,Z66)),AND(EQ(AJ4,Z66),EQ(AK4,AA66)),COUNTIF(AR22:AR90,CONCATENATE(Z66,"-",AA66))),1,0)</f>
        <v>0</v>
      </c>
      <c r="AG66" s="5">
        <f>IF(AND(EQ(AJ4,Z66),EQ(AK4,AA66)),2,IF(COUNTIF(AR20:AR90,CONCATENATE(Z66,"-",AA66)),4,3))</f>
        <v>3</v>
      </c>
      <c r="AH66" s="23"/>
      <c r="AO66" s="5">
        <f>IF(AN66 &gt;= ADD(S20,AM23),IF(EQ(AN66,S20),0,1),0)</f>
        <v>0</v>
      </c>
      <c r="AP66" s="5" t="str">
        <f t="shared" si="15"/>
        <v> </v>
      </c>
      <c r="AQ66" s="5" t="str">
        <f t="shared" si="16"/>
        <v> </v>
      </c>
      <c r="AR66" s="5" t="str">
        <f t="shared" si="17"/>
        <v> - </v>
      </c>
    </row>
    <row r="67">
      <c r="E67" s="2"/>
      <c r="P67" s="2"/>
      <c r="R67" s="1">
        <v>48.0</v>
      </c>
      <c r="S67" s="28">
        <v>47.0</v>
      </c>
      <c r="W67" s="29" t="str">
        <f>IF(EQ(M15,TRUE),"R",IF(EQ(R67,S20),W19,W67))</f>
        <v>R</v>
      </c>
      <c r="X67" s="25" t="str">
        <f>IF(EQ(M15,TRUE),"R",IF(EQ(R67,S20),X19,X67))</f>
        <v>R</v>
      </c>
      <c r="Z67" s="1">
        <v>6.0</v>
      </c>
      <c r="AA67" s="1">
        <v>2.0</v>
      </c>
      <c r="AD67" s="5">
        <f t="shared" si="18"/>
        <v>0</v>
      </c>
      <c r="AE67" s="5">
        <f>IF(OR(AND(EQ(SY,AA67),EQ(SX,Z67)),AND(EQ(AJ4,Z67),EQ(AK4,AA67)),COUNTIF(AR22:AR90,CONCATENATE(Z67,"-",AA67))),1,0)</f>
        <v>0</v>
      </c>
      <c r="AG67" s="5">
        <f>IF(AND(EQ(AJ4,Z67),EQ(AK4,AA67)),2,IF(COUNTIF(AR20:AR90,CONCATENATE(Z67,"-",AA67)),4,3))</f>
        <v>3</v>
      </c>
      <c r="AH67" s="23"/>
      <c r="AO67" s="5">
        <f>IF(AN67 &gt;= ADD(S20,AM23),IF(EQ(AN67,S20),0,1),0)</f>
        <v>0</v>
      </c>
      <c r="AP67" s="5" t="str">
        <f t="shared" si="15"/>
        <v> </v>
      </c>
      <c r="AQ67" s="5" t="str">
        <f t="shared" si="16"/>
        <v> </v>
      </c>
      <c r="AR67" s="5" t="str">
        <f t="shared" si="17"/>
        <v> - </v>
      </c>
    </row>
    <row r="68">
      <c r="E68" s="2"/>
      <c r="P68" s="2"/>
      <c r="R68" s="1">
        <v>49.0</v>
      </c>
      <c r="S68" s="28">
        <v>48.0</v>
      </c>
      <c r="W68" s="29" t="str">
        <f>IF(EQ(M15,TRUE),"R",IF(EQ(R68,S20),W19,W68))</f>
        <v>R</v>
      </c>
      <c r="X68" s="25" t="str">
        <f>IF(EQ(M15,TRUE),"R",IF(EQ(R68,S20),X19,X68))</f>
        <v>R</v>
      </c>
      <c r="Z68" s="1">
        <v>6.0</v>
      </c>
      <c r="AA68" s="1">
        <v>1.0</v>
      </c>
      <c r="AD68" s="5">
        <f t="shared" si="18"/>
        <v>0</v>
      </c>
      <c r="AE68" s="5">
        <f>IF(OR(AND(EQ(SY,AA68),EQ(SX,Z68)),AND(EQ(AJ4,Z68),EQ(AK4,AA68)),COUNTIF(AR22:AR90,CONCATENATE(Z68,"-",AA68))),1,0)</f>
        <v>0</v>
      </c>
      <c r="AG68" s="5">
        <f>IF(AND(EQ(AJ4,Z68),EQ(AK4,AA68)),2,IF(COUNTIF(AR20:AR90,CONCATENATE(Z68,"-",AA68)),4,3))</f>
        <v>3</v>
      </c>
      <c r="AH68" s="23"/>
      <c r="AO68" s="5">
        <f>IF(AN68 &gt;= ADD(S20,AM23),IF(EQ(AN68,S20),0,1),0)</f>
        <v>0</v>
      </c>
      <c r="AP68" s="5" t="str">
        <f t="shared" si="15"/>
        <v> </v>
      </c>
      <c r="AQ68" s="5" t="str">
        <f t="shared" si="16"/>
        <v> </v>
      </c>
      <c r="AR68" s="5" t="str">
        <f t="shared" si="17"/>
        <v> - </v>
      </c>
    </row>
    <row r="69">
      <c r="E69" s="2"/>
      <c r="P69" s="2"/>
      <c r="R69" s="1">
        <v>50.0</v>
      </c>
      <c r="S69" s="28">
        <v>49.0</v>
      </c>
      <c r="W69" s="29" t="str">
        <f>IF(EQ(M15,TRUE),"R",IF(EQ(R69,S20),W19,W69))</f>
        <v>R</v>
      </c>
      <c r="X69" s="25" t="str">
        <f>IF(EQ(M15,TRUE),"R",IF(EQ(R69,S20),X19,X69))</f>
        <v>R</v>
      </c>
      <c r="AB69" s="32"/>
      <c r="AC69" s="32"/>
      <c r="AD69" s="5">
        <f t="shared" si="18"/>
        <v>0</v>
      </c>
      <c r="AE69" s="5">
        <f>IF(OR(AND(EQ(SY,AA69),EQ(SX,Z69)),AND(EQ(AJ4,Z69),EQ(AK4,AA69)),COUNTIF(AR22:AR90,CONCATENATE(Z69,"-",AA69))),1,0)</f>
        <v>0</v>
      </c>
      <c r="AF69" s="32"/>
      <c r="AG69" s="5">
        <f>IF(AND(EQ(AJ4,Z69),EQ(AK4,AA69)),2,IF(COUNTIF(AR20:AR90,CONCATENATE(Z69,"-",AA69)),4,3))</f>
        <v>3</v>
      </c>
      <c r="AH69" s="32"/>
      <c r="AO69" s="5">
        <f>IF(AN69 &gt;= ADD(S20,AM23),IF(EQ(AN69,S20),0,1),0)</f>
        <v>0</v>
      </c>
      <c r="AP69" s="5" t="str">
        <f t="shared" si="15"/>
        <v> </v>
      </c>
      <c r="AQ69" s="5" t="str">
        <f t="shared" si="16"/>
        <v> </v>
      </c>
      <c r="AR69" s="5" t="str">
        <f t="shared" si="17"/>
        <v> - </v>
      </c>
    </row>
    <row r="70">
      <c r="E70" s="2"/>
      <c r="P70" s="2"/>
      <c r="R70" s="1">
        <v>51.0</v>
      </c>
      <c r="S70" s="28">
        <v>50.0</v>
      </c>
      <c r="W70" s="29" t="str">
        <f>IF(EQ(M15,TRUE),"R",IF(EQ(R70,S20),W19,W70))</f>
        <v>R</v>
      </c>
      <c r="X70" s="25" t="str">
        <f>IF(EQ(M15,TRUE),"R",IF(EQ(R70,S20),X19,X70))</f>
        <v>R</v>
      </c>
      <c r="Z70" s="1">
        <v>7.0</v>
      </c>
      <c r="AA70" s="1">
        <v>8.0</v>
      </c>
      <c r="AD70" s="5">
        <f t="shared" si="18"/>
        <v>0</v>
      </c>
      <c r="AE70" s="5">
        <f>IF(OR(AND(EQ(SY,AA70),EQ(SX,Z70)),AND(EQ(AJ4,Z70),EQ(AK4,AA70)),COUNTIF(AR22:AR90,CONCATENATE(Z70,"-",AA70))),1,0)</f>
        <v>0</v>
      </c>
      <c r="AG70" s="5">
        <f>IF(AND(EQ(AJ4,Z70),EQ(AK4,AA70)),2,IF(COUNTIF(AR20:AR90,CONCATENATE(Z70,"-",AA70)),4,3))</f>
        <v>3</v>
      </c>
      <c r="AH70" s="23"/>
      <c r="AO70" s="5">
        <f>IF(AN70 &gt;= ADD(S20,AM23),IF(EQ(AN70,S20),0,1),0)</f>
        <v>0</v>
      </c>
      <c r="AP70" s="5" t="str">
        <f t="shared" si="15"/>
        <v> </v>
      </c>
      <c r="AQ70" s="5" t="str">
        <f t="shared" si="16"/>
        <v> </v>
      </c>
      <c r="AR70" s="5" t="str">
        <f t="shared" si="17"/>
        <v> - </v>
      </c>
    </row>
    <row r="71">
      <c r="E71" s="2"/>
      <c r="P71" s="2"/>
      <c r="R71" s="1">
        <v>52.0</v>
      </c>
      <c r="S71" s="28">
        <v>51.0</v>
      </c>
      <c r="W71" s="29" t="str">
        <f>IF(EQ(M15,TRUE),"R",IF(EQ(R71,S20),W19,W71))</f>
        <v>R</v>
      </c>
      <c r="X71" s="25" t="str">
        <f>IF(EQ(M15,TRUE),"R",IF(EQ(R71,S20),X19,X71))</f>
        <v>R</v>
      </c>
      <c r="Z71" s="1">
        <v>7.0</v>
      </c>
      <c r="AA71" s="1">
        <v>7.0</v>
      </c>
      <c r="AD71" s="5">
        <f t="shared" si="18"/>
        <v>0</v>
      </c>
      <c r="AE71" s="5">
        <f>IF(OR(AND(EQ(SY,AA71),EQ(SX,Z71)),AND(EQ(AJ4,Z71),EQ(AK4,AA71)),COUNTIF(AR22:AR90,CONCATENATE(Z71,"-",AA71))),1,0)</f>
        <v>0</v>
      </c>
      <c r="AG71" s="5">
        <f>IF(AND(EQ(AJ4,Z71),EQ(AK4,AA71)),2,IF(COUNTIF(AR20:AR90,CONCATENATE(Z71,"-",AA71)),4,3))</f>
        <v>3</v>
      </c>
      <c r="AH71" s="23"/>
      <c r="AO71" s="5">
        <f>IF(AN71 &gt;= ADD(S20,AM23),IF(EQ(AN71,S20),0,1),0)</f>
        <v>0</v>
      </c>
      <c r="AP71" s="5" t="str">
        <f t="shared" si="15"/>
        <v> </v>
      </c>
      <c r="AQ71" s="5" t="str">
        <f t="shared" si="16"/>
        <v> </v>
      </c>
      <c r="AR71" s="5" t="str">
        <f t="shared" si="17"/>
        <v> - </v>
      </c>
    </row>
    <row r="72">
      <c r="E72" s="2"/>
      <c r="P72" s="2"/>
      <c r="R72" s="1">
        <v>53.0</v>
      </c>
      <c r="S72" s="28">
        <v>52.0</v>
      </c>
      <c r="W72" s="29" t="str">
        <f>IF(EQ(M15,TRUE),"R",IF(EQ(R72,S20),W19,W72))</f>
        <v>R</v>
      </c>
      <c r="X72" s="25" t="str">
        <f>IF(EQ(M15,TRUE),"R",IF(EQ(R72,S20),X19,X72))</f>
        <v>R</v>
      </c>
      <c r="Z72" s="1">
        <v>7.0</v>
      </c>
      <c r="AA72" s="1">
        <v>6.0</v>
      </c>
      <c r="AD72" s="5">
        <f t="shared" si="18"/>
        <v>0</v>
      </c>
      <c r="AE72" s="5">
        <f>IF(OR(AND(EQ(SY,AA72),EQ(SX,Z72)),AND(EQ(AJ4,Z72),EQ(AK4,AA72)),COUNTIF(AR22:AR90,CONCATENATE(Z72,"-",AA72))),1,0)</f>
        <v>0</v>
      </c>
      <c r="AG72" s="5">
        <f>IF(AND(EQ(AJ4,Z72),EQ(AK4,AA72)),2,IF(COUNTIF(AR20:AR90,CONCATENATE(Z72,"-",AA72)),4,3))</f>
        <v>3</v>
      </c>
      <c r="AH72" s="23"/>
      <c r="AO72" s="5">
        <f>IF(AN72 &gt;= ADD(S20,AM23),IF(EQ(AN72,S20),0,1),0)</f>
        <v>0</v>
      </c>
      <c r="AP72" s="5" t="str">
        <f t="shared" si="15"/>
        <v> </v>
      </c>
      <c r="AQ72" s="5" t="str">
        <f t="shared" si="16"/>
        <v> </v>
      </c>
      <c r="AR72" s="5" t="str">
        <f t="shared" si="17"/>
        <v> - </v>
      </c>
    </row>
    <row r="73">
      <c r="E73" s="2"/>
      <c r="P73" s="2"/>
      <c r="R73" s="1">
        <v>54.0</v>
      </c>
      <c r="S73" s="28">
        <v>53.0</v>
      </c>
      <c r="W73" s="29" t="str">
        <f>IF(EQ(M15,TRUE),"R",IF(EQ(R73,S20),W19,W73))</f>
        <v>R</v>
      </c>
      <c r="X73" s="25" t="str">
        <f>IF(EQ(M15,TRUE),"R",IF(EQ(R73,S20),X19,X73))</f>
        <v>R</v>
      </c>
      <c r="Z73" s="1">
        <v>7.0</v>
      </c>
      <c r="AA73" s="1">
        <v>5.0</v>
      </c>
      <c r="AD73" s="5">
        <f t="shared" si="18"/>
        <v>0</v>
      </c>
      <c r="AE73" s="5">
        <f>IF(OR(AND(EQ(SY,AA73),EQ(SX,Z73)),AND(EQ(AJ4,Z73),EQ(AK4,AA73)),COUNTIF(AR22:AR90,CONCATENATE(Z73,"-",AA73))),1,0)</f>
        <v>0</v>
      </c>
      <c r="AG73" s="5">
        <f>IF(AND(EQ(AJ4,Z73),EQ(AK4,AA73)),2,IF(COUNTIF(AR20:AR90,CONCATENATE(Z73,"-",AA73)),4,3))</f>
        <v>3</v>
      </c>
      <c r="AH73" s="23"/>
      <c r="AO73" s="5">
        <f>IF(AN73 &gt;= ADD(S20,AM23),IF(EQ(AN73,S20),0,1),0)</f>
        <v>0</v>
      </c>
      <c r="AP73" s="5" t="str">
        <f t="shared" si="15"/>
        <v> </v>
      </c>
      <c r="AQ73" s="5" t="str">
        <f t="shared" si="16"/>
        <v> </v>
      </c>
      <c r="AR73" s="5" t="str">
        <f t="shared" si="17"/>
        <v> - </v>
      </c>
    </row>
    <row r="74">
      <c r="E74" s="2"/>
      <c r="P74" s="2"/>
      <c r="R74" s="1">
        <v>55.0</v>
      </c>
      <c r="S74" s="28">
        <v>54.0</v>
      </c>
      <c r="W74" s="29" t="str">
        <f>IF(EQ(M15,TRUE),"R",IF(EQ(R74,S20),W19,W74))</f>
        <v>R</v>
      </c>
      <c r="X74" s="25" t="str">
        <f>IF(EQ(M15,TRUE),"R",IF(EQ(R74,S20),X19,X74))</f>
        <v>R</v>
      </c>
      <c r="Z74" s="1">
        <v>7.0</v>
      </c>
      <c r="AA74" s="1">
        <v>4.0</v>
      </c>
      <c r="AD74" s="5">
        <f t="shared" si="18"/>
        <v>0</v>
      </c>
      <c r="AE74" s="5">
        <f>IF(OR(AND(EQ(SY,AA74),EQ(SX,Z74)),AND(EQ(AJ4,Z74),EQ(AK4,AA74)),COUNTIF(AR22:AR90,CONCATENATE(Z74,"-",AA74))),1,0)</f>
        <v>0</v>
      </c>
      <c r="AG74" s="5">
        <f>IF(AND(EQ(AJ4,Z74),EQ(AK4,AA74)),2,IF(COUNTIF(AR20:AR90,CONCATENATE(Z74,"-",AA74)),4,3))</f>
        <v>3</v>
      </c>
      <c r="AH74" s="23"/>
      <c r="AO74" s="5">
        <f>IF(AN74 &gt;= ADD(S20,AM23),IF(EQ(AN74,S20),0,1),0)</f>
        <v>0</v>
      </c>
      <c r="AP74" s="5" t="str">
        <f t="shared" si="15"/>
        <v> </v>
      </c>
      <c r="AQ74" s="5" t="str">
        <f t="shared" si="16"/>
        <v> </v>
      </c>
      <c r="AR74" s="5" t="str">
        <f t="shared" si="17"/>
        <v> - </v>
      </c>
    </row>
    <row r="75">
      <c r="E75" s="2"/>
      <c r="P75" s="2"/>
      <c r="R75" s="1">
        <v>56.0</v>
      </c>
      <c r="S75" s="28">
        <v>55.0</v>
      </c>
      <c r="W75" s="29" t="str">
        <f>IF(EQ(M15,TRUE),"R",IF(EQ(R75,S20),W19,W75))</f>
        <v>R</v>
      </c>
      <c r="X75" s="25" t="str">
        <f>IF(EQ(M15,TRUE),"R",IF(EQ(R75,S20),X19,X75))</f>
        <v>R</v>
      </c>
      <c r="Z75" s="1">
        <v>7.0</v>
      </c>
      <c r="AA75" s="1">
        <v>3.0</v>
      </c>
      <c r="AD75" s="5">
        <f t="shared" si="18"/>
        <v>0</v>
      </c>
      <c r="AE75" s="5">
        <f>IF(OR(AND(EQ(SY,AA75),EQ(SX,Z75)),AND(EQ(AJ4,Z75),EQ(AK4,AA75)),COUNTIF(AR22:AR90,CONCATENATE(Z75,"-",AA75))),1,0)</f>
        <v>0</v>
      </c>
      <c r="AG75" s="5">
        <f>IF(AND(EQ(AJ4,Z75),EQ(AK4,AA75)),2,IF(COUNTIF(AR20:AR90,CONCATENATE(Z75,"-",AA75)),4,3))</f>
        <v>3</v>
      </c>
      <c r="AH75" s="23"/>
      <c r="AO75" s="5">
        <f>IF(AN75 &gt;= ADD(S20,AM23),IF(EQ(AN75,S20),0,1),0)</f>
        <v>0</v>
      </c>
      <c r="AP75" s="5" t="str">
        <f t="shared" si="15"/>
        <v> </v>
      </c>
      <c r="AQ75" s="5" t="str">
        <f t="shared" si="16"/>
        <v> </v>
      </c>
      <c r="AR75" s="5" t="str">
        <f t="shared" si="17"/>
        <v> - </v>
      </c>
    </row>
    <row r="76">
      <c r="E76" s="2"/>
      <c r="P76" s="2"/>
      <c r="R76" s="1">
        <v>57.0</v>
      </c>
      <c r="S76" s="28">
        <v>56.0</v>
      </c>
      <c r="W76" s="29" t="str">
        <f>IF(EQ(M15,TRUE),"R",IF(EQ(R76,S20),W19,W76))</f>
        <v>R</v>
      </c>
      <c r="X76" s="25" t="str">
        <f>IF(EQ(M15,TRUE),"R",IF(EQ(R76,S20),X19,X76))</f>
        <v>R</v>
      </c>
      <c r="Z76" s="1">
        <v>7.0</v>
      </c>
      <c r="AA76" s="1">
        <v>2.0</v>
      </c>
      <c r="AD76" s="5">
        <f t="shared" si="18"/>
        <v>0</v>
      </c>
      <c r="AE76" s="5">
        <f>IF(OR(AND(EQ(SY,AA76),EQ(SX,Z76)),AND(EQ(AJ4,Z76),EQ(AK4,AA76)),COUNTIF(AR22:AR90,CONCATENATE(Z76,"-",AA76))),1,0)</f>
        <v>0</v>
      </c>
      <c r="AG76" s="5">
        <f>IF(AND(EQ(AJ4,Z76),EQ(AK4,AA76)),2,IF(COUNTIF(AR20:AR90,CONCATENATE(Z76,"-",AA76)),4,3))</f>
        <v>3</v>
      </c>
      <c r="AH76" s="23"/>
      <c r="AO76" s="5">
        <f>IF(AN76 &gt;= ADD(S20,AM23),IF(EQ(AN76,S20),0,1),0)</f>
        <v>0</v>
      </c>
      <c r="AP76" s="5" t="str">
        <f t="shared" si="15"/>
        <v> </v>
      </c>
      <c r="AQ76" s="5" t="str">
        <f t="shared" si="16"/>
        <v> </v>
      </c>
      <c r="AR76" s="5" t="str">
        <f t="shared" si="17"/>
        <v> - </v>
      </c>
    </row>
    <row r="77">
      <c r="E77" s="2"/>
      <c r="P77" s="2"/>
      <c r="R77" s="1">
        <v>58.0</v>
      </c>
      <c r="S77" s="28">
        <v>57.0</v>
      </c>
      <c r="W77" s="29" t="str">
        <f>IF(EQ(M15,TRUE),"R",IF(EQ(R77,S20),W19,W77))</f>
        <v>R</v>
      </c>
      <c r="X77" s="25" t="str">
        <f>IF(EQ(M15,TRUE),"R",IF(EQ(R77,S20),X19,X77))</f>
        <v>R</v>
      </c>
      <c r="Z77" s="1">
        <v>7.0</v>
      </c>
      <c r="AA77" s="1">
        <v>1.0</v>
      </c>
      <c r="AD77" s="5">
        <f t="shared" si="18"/>
        <v>0</v>
      </c>
      <c r="AE77" s="5">
        <f>IF(OR(AND(EQ(SY,AA77),EQ(SX,Z77)),AND(EQ(AJ4,Z77),EQ(AK4,AA77)),COUNTIF(AR22:AR90,CONCATENATE(Z77,"-",AA77))),1,0)</f>
        <v>0</v>
      </c>
      <c r="AG77" s="5">
        <f>IF(AND(EQ(AJ4,Z77),EQ(AK4,AA77)),2,IF(COUNTIF(AR20:AR90,CONCATENATE(Z77,"-",AA77)),4,3))</f>
        <v>3</v>
      </c>
      <c r="AH77" s="23"/>
      <c r="AO77" s="5">
        <f>IF(AN77 &gt;= ADD(S20,AM23),IF(EQ(AN77,S20),0,1),0)</f>
        <v>0</v>
      </c>
      <c r="AP77" s="5" t="str">
        <f t="shared" si="15"/>
        <v> </v>
      </c>
      <c r="AQ77" s="5" t="str">
        <f t="shared" si="16"/>
        <v> </v>
      </c>
      <c r="AR77" s="5" t="str">
        <f t="shared" si="17"/>
        <v> - </v>
      </c>
    </row>
    <row r="78">
      <c r="E78" s="2"/>
      <c r="P78" s="2"/>
      <c r="R78" s="1">
        <v>59.0</v>
      </c>
      <c r="S78" s="28">
        <v>58.0</v>
      </c>
      <c r="W78" s="29" t="str">
        <f>IF(EQ(M15,TRUE),"R",IF(EQ(R78,S20),W19,W78))</f>
        <v>R</v>
      </c>
      <c r="X78" s="25" t="str">
        <f>IF(EQ(M15,TRUE),"R",IF(EQ(R78,S20),X19,X78))</f>
        <v>R</v>
      </c>
      <c r="AB78" s="32"/>
      <c r="AC78" s="32"/>
      <c r="AD78" s="5">
        <f t="shared" si="18"/>
        <v>0</v>
      </c>
      <c r="AE78" s="5">
        <f>IF(OR(AND(EQ(SY,AA78),EQ(SX,Z78)),AND(EQ(AJ4,Z78),EQ(AK4,AA78)),COUNTIF(AR22:AR90,CONCATENATE(Z78,"-",AA78))),1,0)</f>
        <v>0</v>
      </c>
      <c r="AF78" s="32"/>
      <c r="AG78" s="5">
        <f>IF(AND(EQ(AJ4,Z78),EQ(AK4,AA78)),2,IF(COUNTIF(AR20:AR90,CONCATENATE(Z78,"-",AA78)),4,3))</f>
        <v>3</v>
      </c>
      <c r="AH78" s="32"/>
      <c r="AO78" s="5">
        <f>IF(AN78 &gt;= ADD(S20,AM23),IF(EQ(AN78,S20),0,1),0)</f>
        <v>0</v>
      </c>
      <c r="AP78" s="5" t="str">
        <f t="shared" si="15"/>
        <v> </v>
      </c>
      <c r="AQ78" s="5" t="str">
        <f t="shared" si="16"/>
        <v> </v>
      </c>
      <c r="AR78" s="5" t="str">
        <f t="shared" si="17"/>
        <v> - </v>
      </c>
    </row>
    <row r="79">
      <c r="E79" s="2"/>
      <c r="P79" s="2"/>
      <c r="R79" s="1">
        <v>60.0</v>
      </c>
      <c r="S79" s="28">
        <v>59.0</v>
      </c>
      <c r="W79" s="29" t="str">
        <f>IF(EQ(M15,TRUE),"R",IF(EQ(R79,S20),W19,W79))</f>
        <v>R</v>
      </c>
      <c r="X79" s="25" t="str">
        <f>IF(EQ(M15,TRUE),"R",IF(EQ(R79,S20),X19,X79))</f>
        <v>R</v>
      </c>
      <c r="Z79" s="1">
        <v>8.0</v>
      </c>
      <c r="AA79" s="1">
        <v>8.0</v>
      </c>
      <c r="AD79" s="5">
        <f t="shared" si="18"/>
        <v>0</v>
      </c>
      <c r="AE79" s="5">
        <f>IF(OR(AND(EQ(SY,AA79),EQ(SX,Z79)),AND(EQ(AJ4,Z79),EQ(AK4,AA79)),COUNTIF(AR22:AR90,CONCATENATE(Z79,"-",AA79))),1,0)</f>
        <v>0</v>
      </c>
      <c r="AG79" s="5">
        <f>IF(AND(EQ(AJ4,Z79),EQ(AK4,AA79)),2,IF(COUNTIF(AR20:AR90,CONCATENATE(Z79,"-",AA79)),4,3))</f>
        <v>3</v>
      </c>
      <c r="AH79" s="23"/>
      <c r="AO79" s="5">
        <f>IF(AN79 &gt;= ADD(S20,AM23),IF(EQ(AN79,S20),0,1),0)</f>
        <v>0</v>
      </c>
      <c r="AP79" s="5" t="str">
        <f t="shared" si="15"/>
        <v> </v>
      </c>
      <c r="AQ79" s="5" t="str">
        <f t="shared" si="16"/>
        <v> </v>
      </c>
      <c r="AR79" s="5" t="str">
        <f t="shared" si="17"/>
        <v> - </v>
      </c>
    </row>
    <row r="80">
      <c r="E80" s="2"/>
      <c r="P80" s="2"/>
      <c r="R80" s="1">
        <v>61.0</v>
      </c>
      <c r="S80" s="28">
        <v>60.0</v>
      </c>
      <c r="W80" s="29" t="str">
        <f>IF(EQ(M15,TRUE),"R",IF(EQ(R80,S20),W19,W80))</f>
        <v>R</v>
      </c>
      <c r="X80" s="25" t="str">
        <f>IF(EQ(M15,TRUE),"R",IF(EQ(R80,S20),X19,X80))</f>
        <v>R</v>
      </c>
      <c r="Z80" s="1">
        <v>8.0</v>
      </c>
      <c r="AA80" s="1">
        <v>7.0</v>
      </c>
      <c r="AD80" s="5">
        <f t="shared" si="18"/>
        <v>0</v>
      </c>
      <c r="AE80" s="5">
        <f>IF(OR(AND(EQ(SY,AA80),EQ(SX,Z80)),AND(EQ(AJ4,Z80),EQ(AK4,AA80)),COUNTIF(AR22:AR90,CONCATENATE(Z80,"-",AA80))),1,0)</f>
        <v>0</v>
      </c>
      <c r="AG80" s="5">
        <f>IF(AND(EQ(AJ4,Z80),EQ(AK4,AA80)),2,IF(COUNTIF(AR20:AR90,CONCATENATE(Z80,"-",AA80)),4,3))</f>
        <v>3</v>
      </c>
      <c r="AH80" s="23"/>
      <c r="AO80" s="5">
        <f>IF(AN80 &gt;= ADD(S20,AM23),IF(EQ(AN80,S20),0,1),0)</f>
        <v>0</v>
      </c>
      <c r="AP80" s="5" t="str">
        <f t="shared" si="15"/>
        <v> </v>
      </c>
      <c r="AQ80" s="5" t="str">
        <f t="shared" si="16"/>
        <v> </v>
      </c>
      <c r="AR80" s="5" t="str">
        <f t="shared" si="17"/>
        <v> - </v>
      </c>
    </row>
    <row r="81">
      <c r="E81" s="2"/>
      <c r="P81" s="2"/>
      <c r="R81" s="1">
        <v>62.0</v>
      </c>
      <c r="S81" s="28">
        <v>61.0</v>
      </c>
      <c r="W81" s="29" t="str">
        <f>IF(EQ(M15,TRUE),"R",IF(EQ(R81,S20),W19,W81))</f>
        <v>R</v>
      </c>
      <c r="X81" s="25" t="str">
        <f>IF(EQ(M15,TRUE),"R",IF(EQ(R81,S20),X19,X81))</f>
        <v>R</v>
      </c>
      <c r="Z81" s="1">
        <v>8.0</v>
      </c>
      <c r="AA81" s="1">
        <v>6.0</v>
      </c>
      <c r="AD81" s="5">
        <f t="shared" si="18"/>
        <v>0</v>
      </c>
      <c r="AE81" s="5">
        <f>IF(OR(AND(EQ(SY,AA81),EQ(SX,Z81)),AND(EQ(AJ4,Z81),EQ(AK4,AA81)),COUNTIF(AR22:AR90,CONCATENATE(Z81,"-",AA81))),1,0)</f>
        <v>0</v>
      </c>
      <c r="AG81" s="5">
        <f>IF(AND(EQ(AJ4,Z81),EQ(AK4,AA81)),2,IF(COUNTIF(AR20:AR90,CONCATENATE(Z81,"-",AA81)),4,3))</f>
        <v>3</v>
      </c>
      <c r="AH81" s="23"/>
      <c r="AO81" s="5">
        <f>IF(AN81 &gt;= ADD(S20,AM23),IF(EQ(AN81,S20),0,1),0)</f>
        <v>0</v>
      </c>
      <c r="AP81" s="5" t="str">
        <f t="shared" si="15"/>
        <v> </v>
      </c>
      <c r="AQ81" s="5" t="str">
        <f t="shared" si="16"/>
        <v> </v>
      </c>
      <c r="AR81" s="5" t="str">
        <f t="shared" si="17"/>
        <v> - </v>
      </c>
    </row>
    <row r="82">
      <c r="E82" s="2"/>
      <c r="P82" s="2"/>
      <c r="R82" s="1">
        <v>63.0</v>
      </c>
      <c r="S82" s="28">
        <v>62.0</v>
      </c>
      <c r="W82" s="29" t="str">
        <f>IF(EQ(M15,TRUE),"R",IF(EQ(R82,S20),W19,W82))</f>
        <v>R</v>
      </c>
      <c r="X82" s="25" t="str">
        <f>IF(EQ(M15,TRUE),"R",IF(EQ(R82,S20),X19,X82))</f>
        <v>R</v>
      </c>
      <c r="Z82" s="1">
        <v>8.0</v>
      </c>
      <c r="AA82" s="1">
        <v>5.0</v>
      </c>
      <c r="AD82" s="5">
        <f t="shared" si="18"/>
        <v>0</v>
      </c>
      <c r="AE82" s="5">
        <f>IF(OR(AND(EQ(SY,AA82),EQ(SX,Z82)),AND(EQ(AJ4,Z82),EQ(AK4,AA82)),COUNTIF(AR22:AR90,CONCATENATE(Z82,"-",AA82))),1,0)</f>
        <v>0</v>
      </c>
      <c r="AG82" s="5">
        <f>IF(AND(EQ(AJ4,Z82),EQ(AK4,AA82)),2,IF(COUNTIF(AR20:AR90,CONCATENATE(Z82,"-",AA82)),4,3))</f>
        <v>3</v>
      </c>
      <c r="AH82" s="23"/>
      <c r="AO82" s="5">
        <f>IF(AN82 &gt;= ADD(S20,AM23),IF(EQ(AN82,S20),0,1),0)</f>
        <v>0</v>
      </c>
      <c r="AP82" s="5" t="str">
        <f t="shared" si="15"/>
        <v> </v>
      </c>
      <c r="AQ82" s="5" t="str">
        <f t="shared" si="16"/>
        <v> </v>
      </c>
      <c r="AR82" s="5" t="str">
        <f t="shared" si="17"/>
        <v> - </v>
      </c>
    </row>
    <row r="83">
      <c r="E83" s="2"/>
      <c r="P83" s="2"/>
      <c r="R83" s="1">
        <v>64.0</v>
      </c>
      <c r="S83" s="28">
        <v>63.0</v>
      </c>
      <c r="W83" s="29" t="str">
        <f>IF(EQ(M15,TRUE),"R",IF(EQ(R83,S20),W19,W83))</f>
        <v>R</v>
      </c>
      <c r="X83" s="25" t="str">
        <f>IF(EQ(M15,TRUE),"R",IF(EQ(R83,S20),X19,X83))</f>
        <v>R</v>
      </c>
      <c r="Z83" s="1">
        <v>8.0</v>
      </c>
      <c r="AA83" s="1">
        <v>4.0</v>
      </c>
      <c r="AD83" s="5">
        <f t="shared" si="18"/>
        <v>0</v>
      </c>
      <c r="AE83" s="5">
        <f>IF(OR(AND(EQ(SY,AA83),EQ(SX,Z83)),AND(EQ(AJ4,Z83),EQ(AK4,AA83)),COUNTIF(AR22:AR90,CONCATENATE(Z83,"-",AA83))),1,0)</f>
        <v>0</v>
      </c>
      <c r="AG83" s="5">
        <f>IF(AND(EQ(AJ4,Z83),EQ(AK4,AA83)),2,IF(COUNTIF(AR20:AR90,CONCATENATE(Z83,"-",AA83)),4,3))</f>
        <v>3</v>
      </c>
      <c r="AH83" s="23"/>
      <c r="AO83" s="5">
        <f>IF(AN83 &gt;= ADD(S20,AM23),IF(EQ(AN83,S20),0,1),0)</f>
        <v>0</v>
      </c>
      <c r="AP83" s="5" t="str">
        <f t="shared" si="15"/>
        <v> </v>
      </c>
      <c r="AQ83" s="5" t="str">
        <f t="shared" si="16"/>
        <v> </v>
      </c>
      <c r="AR83" s="5" t="str">
        <f t="shared" si="17"/>
        <v> - </v>
      </c>
    </row>
    <row r="84">
      <c r="E84" s="2"/>
      <c r="P84" s="2"/>
      <c r="R84" s="1">
        <v>65.0</v>
      </c>
      <c r="S84" s="28">
        <v>64.0</v>
      </c>
      <c r="W84" s="29" t="str">
        <f>IF(EQ(M15,TRUE),"R",IF(EQ(R84,S20),W19,W84))</f>
        <v>R</v>
      </c>
      <c r="X84" s="25" t="str">
        <f>IF(EQ(M15,TRUE),"R",IF(EQ(R84,S20),X19,X84))</f>
        <v>R</v>
      </c>
      <c r="Z84" s="1">
        <v>8.0</v>
      </c>
      <c r="AA84" s="1">
        <v>3.0</v>
      </c>
      <c r="AD84" s="5">
        <f t="shared" si="18"/>
        <v>0</v>
      </c>
      <c r="AE84" s="5">
        <f>IF(OR(AND(EQ(SY,AA84),EQ(SX,Z84)),AND(EQ(AJ4,Z84),EQ(AK4,AA84)),COUNTIF(AR22:AR90,CONCATENATE(Z84,"-",AA84))),1,0)</f>
        <v>0</v>
      </c>
      <c r="AG84" s="5">
        <f>IF(AND(EQ(AJ4,Z84),EQ(AK4,AA84)),2,IF(COUNTIF(AR20:AR90,CONCATENATE(Z84,"-",AA84)),4,3))</f>
        <v>3</v>
      </c>
      <c r="AH84" s="23"/>
      <c r="AO84" s="5">
        <f>IF(AN84 &gt;= ADD(S20,AM23),IF(EQ(AN84,S20),0,1),0)</f>
        <v>0</v>
      </c>
      <c r="AP84" s="5" t="str">
        <f t="shared" si="15"/>
        <v> </v>
      </c>
      <c r="AQ84" s="5" t="str">
        <f t="shared" si="16"/>
        <v> </v>
      </c>
      <c r="AR84" s="5" t="str">
        <f t="shared" si="17"/>
        <v> - </v>
      </c>
    </row>
    <row r="85">
      <c r="E85" s="2"/>
      <c r="P85" s="2"/>
      <c r="R85" s="1">
        <v>66.0</v>
      </c>
      <c r="S85" s="28">
        <v>65.0</v>
      </c>
      <c r="W85" s="29" t="str">
        <f>IF(EQ(M15,TRUE),"R",IF(EQ(R85,S20),W19,W85))</f>
        <v>R</v>
      </c>
      <c r="X85" s="25" t="str">
        <f>IF(EQ(M15,TRUE),"R",IF(EQ(R85,S20),X19,X85))</f>
        <v>R</v>
      </c>
      <c r="Z85" s="1">
        <v>8.0</v>
      </c>
      <c r="AA85" s="1">
        <v>2.0</v>
      </c>
      <c r="AD85" s="5">
        <f t="shared" si="18"/>
        <v>0</v>
      </c>
      <c r="AE85" s="5">
        <f>IF(OR(AND(EQ(SY,AA85),EQ(SX,Z85)),AND(EQ(AJ4,Z85),EQ(AK4,AA85)),COUNTIF(AR22:AR90,CONCATENATE(Z85,"-",AA85))),1,0)</f>
        <v>0</v>
      </c>
      <c r="AG85" s="5">
        <f>IF(AND(EQ(AJ4,Z85),EQ(AK4,AA85)),2,IF(COUNTIF(AR20:AR90,CONCATENATE(Z85,"-",AA85)),4,3))</f>
        <v>3</v>
      </c>
      <c r="AH85" s="23"/>
      <c r="AO85" s="5">
        <f>IF(AN85 &gt;= ADD(S20,AM23),IF(EQ(AN85,S20),0,1),0)</f>
        <v>0</v>
      </c>
      <c r="AP85" s="5" t="str">
        <f t="shared" si="15"/>
        <v> </v>
      </c>
      <c r="AQ85" s="5" t="str">
        <f t="shared" si="16"/>
        <v> </v>
      </c>
      <c r="AR85" s="5" t="str">
        <f t="shared" si="17"/>
        <v> - </v>
      </c>
    </row>
    <row r="86">
      <c r="E86" s="2"/>
      <c r="P86" s="2"/>
      <c r="R86" s="1">
        <v>67.0</v>
      </c>
      <c r="S86" s="28">
        <v>66.0</v>
      </c>
      <c r="W86" s="29" t="str">
        <f>IF(EQ(M15,TRUE),"R",IF(EQ(R86,S20),W19,W86))</f>
        <v>R</v>
      </c>
      <c r="X86" s="25" t="str">
        <f>IF(EQ(M15,TRUE),"R",IF(EQ(R86,S20),X19,X86))</f>
        <v>R</v>
      </c>
      <c r="Z86" s="1">
        <v>8.0</v>
      </c>
      <c r="AA86" s="1">
        <v>1.0</v>
      </c>
      <c r="AD86" s="5">
        <f t="shared" si="18"/>
        <v>0</v>
      </c>
      <c r="AE86" s="5">
        <f>IF(OR(AND(EQ(SY,AA86),EQ(SX,Z86)),AND(EQ(AJ4,Z86),EQ(AK4,AA86)),COUNTIF(AR22:AR90,CONCATENATE(Z86,"-",AA86))),1,0)</f>
        <v>0</v>
      </c>
      <c r="AG86" s="5">
        <f>IF(AND(EQ(AJ4,Z86),EQ(AK4,AA86)),2,IF(COUNTIF(AR20:AR90,CONCATENATE(Z86,"-",AA86)),4,3))</f>
        <v>3</v>
      </c>
      <c r="AH86" s="23"/>
      <c r="AO86" s="5">
        <f>IF(AN86 &gt;= ADD(S20,AM23),IF(EQ(AN86,S20),0,1),0)</f>
        <v>0</v>
      </c>
      <c r="AP86" s="5" t="str">
        <f t="shared" si="15"/>
        <v> </v>
      </c>
      <c r="AQ86" s="5" t="str">
        <f t="shared" si="16"/>
        <v> </v>
      </c>
      <c r="AR86" s="5" t="str">
        <f t="shared" si="17"/>
        <v> - </v>
      </c>
    </row>
    <row r="87">
      <c r="E87" s="2"/>
      <c r="P87" s="2"/>
      <c r="R87" s="1">
        <v>68.0</v>
      </c>
      <c r="S87" s="28">
        <v>67.0</v>
      </c>
      <c r="W87" s="29" t="str">
        <f>IF(EQ(M15,TRUE),"R",IF(EQ(R87,S20),W19,W87))</f>
        <v>R</v>
      </c>
      <c r="X87" s="25" t="str">
        <f>IF(EQ(M15,TRUE),"R",IF(EQ(R87,S20),X19,X87))</f>
        <v>R</v>
      </c>
      <c r="Z87" s="2"/>
      <c r="AA87" s="2"/>
      <c r="AB87" s="2"/>
      <c r="AC87" s="2"/>
      <c r="AD87" s="2"/>
      <c r="AE87" s="2"/>
      <c r="AF87" s="2"/>
      <c r="AG87" s="2"/>
      <c r="AO87" s="5">
        <f>IF(AN87 &gt;= ADD(S20,AM23),IF(EQ(AN87,S20),0,1),0)</f>
        <v>0</v>
      </c>
      <c r="AP87" s="5" t="str">
        <f t="shared" si="15"/>
        <v> </v>
      </c>
      <c r="AQ87" s="5" t="str">
        <f t="shared" si="16"/>
        <v> </v>
      </c>
      <c r="AR87" s="5" t="str">
        <f t="shared" si="17"/>
        <v> - </v>
      </c>
    </row>
    <row r="88">
      <c r="E88" s="2"/>
      <c r="P88" s="2"/>
      <c r="R88" s="1">
        <v>69.0</v>
      </c>
      <c r="S88" s="28">
        <v>68.0</v>
      </c>
      <c r="W88" s="29" t="str">
        <f>IF(EQ(M15,TRUE),"R",IF(EQ(R88,S20),W19,W88))</f>
        <v>R</v>
      </c>
      <c r="X88" s="25" t="str">
        <f>IF(EQ(M15,TRUE),"R",IF(EQ(R88,S20),X19,X88))</f>
        <v>R</v>
      </c>
      <c r="Z88" s="5">
        <f>IF(EQ(COUNTIF(Z16:Z86,AE4),0),1,0)</f>
        <v>0</v>
      </c>
      <c r="AA88" s="5">
        <f>IF(EQ(COUNTIF(AA16:AA86,AE5),0),1,0)</f>
        <v>0</v>
      </c>
      <c r="AB88" s="5">
        <f>COUNTIF(AR22:AR90,AE6)</f>
        <v>0</v>
      </c>
      <c r="AD88" s="5">
        <f>IF(OR(EQ(1,AA88),EQ(1,Z88),EQ(1,AB88)),1,0)</f>
        <v>0</v>
      </c>
      <c r="AO88" s="5">
        <f>IF(AN88 &gt;= ADD(S20,AM23),IF(EQ(AN88,S20),0,1),0)</f>
        <v>0</v>
      </c>
      <c r="AP88" s="5" t="str">
        <f t="shared" si="15"/>
        <v> </v>
      </c>
      <c r="AQ88" s="5" t="str">
        <f t="shared" si="16"/>
        <v> </v>
      </c>
      <c r="AR88" s="5" t="str">
        <f t="shared" si="17"/>
        <v> - </v>
      </c>
    </row>
    <row r="89">
      <c r="E89" s="2"/>
      <c r="P89" s="2"/>
      <c r="R89" s="1">
        <v>70.0</v>
      </c>
      <c r="S89" s="28">
        <v>69.0</v>
      </c>
      <c r="W89" s="29" t="str">
        <f>IF(EQ(M15,TRUE),"R",IF(EQ(R89,S20),W19,W89))</f>
        <v>R</v>
      </c>
      <c r="X89" s="25" t="str">
        <f>IF(EQ(M15,TRUE),"R",IF(EQ(R89,S20),X19,X89))</f>
        <v>R</v>
      </c>
      <c r="Z89" s="1" t="s">
        <v>73</v>
      </c>
      <c r="AA89" s="1" t="s">
        <v>74</v>
      </c>
      <c r="AB89" s="1" t="s">
        <v>75</v>
      </c>
      <c r="AO89" s="5">
        <f>IF(AN89 &gt;= ADD(S20,AM23),IF(EQ(AN89,S20),0,1),0)</f>
        <v>0</v>
      </c>
      <c r="AP89" s="5" t="str">
        <f t="shared" si="15"/>
        <v> </v>
      </c>
      <c r="AQ89" s="5" t="str">
        <f t="shared" si="16"/>
        <v> </v>
      </c>
      <c r="AR89" s="5" t="str">
        <f t="shared" si="17"/>
        <v> - </v>
      </c>
    </row>
    <row r="90">
      <c r="E90" s="2"/>
      <c r="P90" s="2"/>
      <c r="R90" s="1">
        <v>71.0</v>
      </c>
      <c r="S90" s="28">
        <v>70.0</v>
      </c>
      <c r="W90" s="29" t="str">
        <f>IF(EQ(M15,TRUE),"R",IF(EQ(R90,S20),W19,W90))</f>
        <v>R</v>
      </c>
      <c r="X90" s="25" t="str">
        <f>IF(EQ(M15,TRUE),"R",IF(EQ(R90,S20),X19,X90))</f>
        <v>R</v>
      </c>
      <c r="AO90" s="5">
        <f>IF(AN90 &gt;= ADD(S20,AM23),IF(EQ(AN90,S20),0,1),0)</f>
        <v>0</v>
      </c>
      <c r="AP90" s="5" t="str">
        <f t="shared" si="15"/>
        <v> </v>
      </c>
      <c r="AQ90" s="5" t="str">
        <f t="shared" si="16"/>
        <v> </v>
      </c>
      <c r="AR90" s="5" t="str">
        <f t="shared" si="17"/>
        <v> - </v>
      </c>
    </row>
    <row r="91">
      <c r="E91" s="2"/>
      <c r="P91" s="2"/>
      <c r="R91" s="1">
        <v>72.0</v>
      </c>
      <c r="S91" s="28">
        <v>71.0</v>
      </c>
      <c r="W91" s="29" t="str">
        <f>IF(EQ(M15,TRUE),"R",IF(EQ(R91,S20),W19,W91))</f>
        <v>R</v>
      </c>
      <c r="X91" s="25" t="str">
        <f>IF(EQ(M15,TRUE),"R",IF(EQ(R91,S20),X19,X91))</f>
        <v>R</v>
      </c>
    </row>
    <row r="92">
      <c r="E92" s="2"/>
      <c r="P92" s="2"/>
      <c r="R92" s="1">
        <v>73.0</v>
      </c>
      <c r="S92" s="28">
        <v>72.0</v>
      </c>
      <c r="W92" s="29" t="str">
        <f>IF(EQ(M15,TRUE),"R",IF(EQ(R92,S20),W19,W92))</f>
        <v>R</v>
      </c>
      <c r="X92" s="25" t="str">
        <f>IF(EQ(M15,TRUE),"R",IF(EQ(R92,S20),X19,X92))</f>
        <v>R</v>
      </c>
    </row>
    <row r="93">
      <c r="E93" s="2"/>
      <c r="P93" s="2"/>
      <c r="R93" s="1">
        <v>74.0</v>
      </c>
      <c r="S93" s="28">
        <v>73.0</v>
      </c>
      <c r="W93" s="29" t="str">
        <f>IF(EQ(M15,TRUE),"R",IF(EQ(R93,S20),W19,W93))</f>
        <v>R</v>
      </c>
      <c r="X93" s="25" t="str">
        <f>IF(EQ(M15,TRUE),"R",IF(EQ(R93,S20),X19,X93))</f>
        <v>R</v>
      </c>
    </row>
    <row r="94">
      <c r="E94" s="2"/>
      <c r="P94" s="2"/>
      <c r="R94" s="1">
        <v>75.0</v>
      </c>
      <c r="S94" s="28">
        <v>74.0</v>
      </c>
      <c r="W94" s="29" t="str">
        <f>IF(EQ(M15,TRUE),"R",IF(EQ(R94,S20),W19,W94))</f>
        <v>R</v>
      </c>
      <c r="X94" s="25" t="str">
        <f>IF(EQ(M15,TRUE),"R",IF(EQ(R94,S20),X19,X94))</f>
        <v>R</v>
      </c>
    </row>
    <row r="95">
      <c r="E95" s="2"/>
      <c r="P95" s="2"/>
      <c r="R95" s="1">
        <v>76.0</v>
      </c>
      <c r="S95" s="28">
        <v>75.0</v>
      </c>
      <c r="W95" s="29" t="str">
        <f>IF(EQ(M15,TRUE),"R",IF(EQ(R95,S20),W19,W95))</f>
        <v>R</v>
      </c>
      <c r="X95" s="25" t="str">
        <f>IF(EQ(M15,TRUE),"R",IF(EQ(R95,S20),X19,X95))</f>
        <v>R</v>
      </c>
    </row>
    <row r="96">
      <c r="E96" s="2"/>
      <c r="P96" s="2"/>
      <c r="R96" s="1">
        <v>77.0</v>
      </c>
      <c r="S96" s="28">
        <v>76.0</v>
      </c>
      <c r="W96" s="29" t="str">
        <f>IF(EQ(M15,TRUE),"R",IF(EQ(R96,S20),W19,W96))</f>
        <v>R</v>
      </c>
      <c r="X96" s="25" t="str">
        <f>IF(EQ(M15,TRUE),"R",IF(EQ(R96,S20),X19,X96))</f>
        <v>R</v>
      </c>
    </row>
    <row r="97">
      <c r="E97" s="2"/>
      <c r="P97" s="2"/>
      <c r="R97" s="1">
        <v>78.0</v>
      </c>
      <c r="S97" s="28">
        <v>77.0</v>
      </c>
      <c r="W97" s="29" t="str">
        <f>IF(EQ(M15,TRUE),"R",IF(EQ(R97,S20),W19,W97))</f>
        <v>R</v>
      </c>
      <c r="X97" s="25" t="str">
        <f>IF(EQ(M15,TRUE),"R",IF(EQ(R97,S20),X19,X97))</f>
        <v>R</v>
      </c>
    </row>
    <row r="98">
      <c r="E98" s="2"/>
      <c r="P98" s="2"/>
      <c r="R98" s="1">
        <v>79.0</v>
      </c>
      <c r="S98" s="28">
        <v>78.0</v>
      </c>
      <c r="W98" s="29" t="str">
        <f>IF(EQ(M15,TRUE),"R",IF(EQ(R98,S20),W19,W98))</f>
        <v>R</v>
      </c>
      <c r="X98" s="25" t="str">
        <f>IF(EQ(M15,TRUE),"R",IF(EQ(R98,S20),X19,X98))</f>
        <v>R</v>
      </c>
    </row>
    <row r="99">
      <c r="E99" s="2"/>
      <c r="P99" s="2"/>
      <c r="R99" s="1">
        <v>80.0</v>
      </c>
      <c r="S99" s="28">
        <v>79.0</v>
      </c>
      <c r="W99" s="29" t="str">
        <f>IF(EQ(M15,TRUE),"R",IF(EQ(R99,S20),W19,W99))</f>
        <v>R</v>
      </c>
      <c r="X99" s="25" t="str">
        <f>IF(EQ(M15,TRUE),"R",IF(EQ(R99,S20),X19,X99))</f>
        <v>R</v>
      </c>
    </row>
    <row r="100">
      <c r="E100" s="2"/>
      <c r="P100" s="2"/>
      <c r="R100" s="1">
        <v>81.0</v>
      </c>
      <c r="S100" s="28">
        <v>80.0</v>
      </c>
      <c r="W100" s="29" t="str">
        <f>IF(EQ(M15,TRUE),"R",IF(EQ(R100,S20),W19,W100))</f>
        <v>R</v>
      </c>
      <c r="X100" s="25" t="str">
        <f>IF(EQ(M15,TRUE),"R",IF(EQ(R100,S20),X19,X100))</f>
        <v>R</v>
      </c>
    </row>
    <row r="101">
      <c r="E101" s="2"/>
      <c r="P101" s="2"/>
      <c r="R101" s="1">
        <v>82.0</v>
      </c>
      <c r="S101" s="28">
        <v>81.0</v>
      </c>
      <c r="W101" s="29" t="str">
        <f>IF(EQ(M15,TRUE),"R",IF(EQ(R101,S20),W19,W101))</f>
        <v>R</v>
      </c>
      <c r="X101" s="25" t="str">
        <f>IF(EQ(M15,TRUE),"R",IF(EQ(R101,S20),X19,X101))</f>
        <v>R</v>
      </c>
    </row>
    <row r="102">
      <c r="E102" s="2"/>
      <c r="P102" s="2"/>
      <c r="R102" s="1">
        <v>83.0</v>
      </c>
      <c r="S102" s="28">
        <v>82.0</v>
      </c>
      <c r="W102" s="29" t="str">
        <f>IF(EQ(M15,TRUE),"R",IF(EQ(R102,S20),W19,W102))</f>
        <v>R</v>
      </c>
      <c r="X102" s="25" t="str">
        <f>IF(EQ(M15,TRUE),"R",IF(EQ(R102,S20),X19,X102))</f>
        <v>R</v>
      </c>
    </row>
    <row r="103">
      <c r="E103" s="2"/>
      <c r="P103" s="2"/>
      <c r="R103" s="1">
        <v>84.0</v>
      </c>
      <c r="S103" s="28">
        <v>83.0</v>
      </c>
      <c r="W103" s="29" t="str">
        <f>IF(EQ(M15,TRUE),"R",IF(EQ(R103,S20),W19,W103))</f>
        <v>R</v>
      </c>
      <c r="X103" s="25" t="str">
        <f>IF(EQ(M15,TRUE),"R",IF(EQ(R103,S20),X19,X103))</f>
        <v>R</v>
      </c>
    </row>
    <row r="104">
      <c r="E104" s="2"/>
      <c r="P104" s="2"/>
      <c r="R104" s="1">
        <v>85.0</v>
      </c>
      <c r="S104" s="28">
        <v>84.0</v>
      </c>
      <c r="W104" s="29" t="str">
        <f>IF(EQ(M15,TRUE),"R",IF(EQ(R104,S20),W19,W104))</f>
        <v>R</v>
      </c>
      <c r="X104" s="25" t="str">
        <f>IF(EQ(M15,TRUE),"R",IF(EQ(R104,S20),X19,X104))</f>
        <v>R</v>
      </c>
    </row>
    <row r="105">
      <c r="E105" s="2"/>
      <c r="P105" s="2"/>
      <c r="R105" s="1">
        <v>86.0</v>
      </c>
      <c r="S105" s="28">
        <v>85.0</v>
      </c>
      <c r="W105" s="29" t="str">
        <f>IF(EQ(M15,TRUE),"R",IF(EQ(R105,S20),W19,W105))</f>
        <v>R</v>
      </c>
      <c r="X105" s="25" t="str">
        <f>IF(EQ(M15,TRUE),"R",IF(EQ(R105,S20),X19,X105))</f>
        <v>R</v>
      </c>
    </row>
    <row r="106">
      <c r="E106" s="2"/>
      <c r="P106" s="2"/>
      <c r="R106" s="1">
        <v>87.0</v>
      </c>
      <c r="S106" s="28">
        <v>86.0</v>
      </c>
      <c r="W106" s="29" t="str">
        <f>IF(EQ(M15,TRUE),"R",IF(EQ(R106,S20),W19,W106))</f>
        <v>R</v>
      </c>
      <c r="X106" s="25" t="str">
        <f>IF(EQ(M15,TRUE),"R",IF(EQ(R106,S20),X19,X106))</f>
        <v>R</v>
      </c>
    </row>
    <row r="107">
      <c r="E107" s="2"/>
      <c r="P107" s="2"/>
      <c r="R107" s="1">
        <v>88.0</v>
      </c>
      <c r="S107" s="28">
        <v>87.0</v>
      </c>
      <c r="W107" s="29" t="str">
        <f>IF(EQ(M15,TRUE),"R",IF(EQ(R107,S20),W19,W107))</f>
        <v>R</v>
      </c>
      <c r="X107" s="25" t="str">
        <f>IF(EQ(M15,TRUE),"R",IF(EQ(R107,S20),X19,X107))</f>
        <v>R</v>
      </c>
    </row>
    <row r="108">
      <c r="E108" s="2"/>
      <c r="P108" s="2"/>
      <c r="R108" s="1">
        <v>89.0</v>
      </c>
      <c r="S108" s="28">
        <v>88.0</v>
      </c>
      <c r="W108" s="29" t="str">
        <f>IF(EQ(M15,TRUE),"R",IF(EQ(R108,S20),W19,W108))</f>
        <v>R</v>
      </c>
      <c r="X108" s="25" t="str">
        <f>IF(EQ(M15,TRUE),"R",IF(EQ(R108,S20),X19,X108))</f>
        <v>R</v>
      </c>
    </row>
    <row r="109">
      <c r="E109" s="2"/>
      <c r="P109" s="2"/>
      <c r="R109" s="1">
        <v>90.0</v>
      </c>
      <c r="S109" s="28">
        <v>89.0</v>
      </c>
      <c r="W109" s="29" t="str">
        <f>IF(EQ(M15,TRUE),"R",IF(EQ(R109,S20),W19,W109))</f>
        <v>R</v>
      </c>
      <c r="X109" s="25" t="str">
        <f>IF(EQ(M15,TRUE),"R",IF(EQ(R109,S20),X19,X109))</f>
        <v>R</v>
      </c>
    </row>
    <row r="110">
      <c r="E110" s="2"/>
      <c r="P110" s="2"/>
      <c r="W110" s="30"/>
      <c r="X110" s="33"/>
    </row>
    <row r="111">
      <c r="E111" s="2"/>
      <c r="P111" s="2"/>
      <c r="W111" s="30"/>
      <c r="X111" s="34"/>
    </row>
    <row r="112">
      <c r="E112" s="2"/>
      <c r="P112" s="2"/>
    </row>
    <row r="113">
      <c r="E113" s="2"/>
      <c r="P113" s="2"/>
    </row>
    <row r="114">
      <c r="E114" s="2"/>
      <c r="P114" s="2"/>
    </row>
    <row r="115">
      <c r="E115" s="2"/>
      <c r="P115" s="2"/>
    </row>
    <row r="116">
      <c r="E116" s="2"/>
      <c r="P116" s="2"/>
    </row>
    <row r="117">
      <c r="E117" s="2"/>
      <c r="P117" s="2"/>
    </row>
    <row r="118">
      <c r="E118" s="2"/>
      <c r="P118" s="2"/>
    </row>
    <row r="119">
      <c r="E119" s="2"/>
      <c r="P119" s="2"/>
    </row>
    <row r="120">
      <c r="E120" s="2"/>
      <c r="P120" s="2"/>
    </row>
    <row r="121">
      <c r="E121" s="2"/>
      <c r="P121" s="2"/>
    </row>
    <row r="122">
      <c r="E122" s="2"/>
      <c r="P122" s="2"/>
    </row>
    <row r="123">
      <c r="E123" s="2"/>
      <c r="P123" s="2"/>
    </row>
    <row r="124">
      <c r="E124" s="2"/>
      <c r="P124" s="2"/>
    </row>
    <row r="125">
      <c r="E125" s="2"/>
      <c r="P125" s="2"/>
    </row>
    <row r="126">
      <c r="E126" s="2"/>
      <c r="P126" s="2"/>
    </row>
    <row r="127">
      <c r="E127" s="2"/>
      <c r="P127" s="2"/>
    </row>
    <row r="128">
      <c r="E128" s="2"/>
      <c r="P128" s="2"/>
    </row>
    <row r="129">
      <c r="E129" s="2"/>
      <c r="P129" s="2"/>
    </row>
    <row r="130">
      <c r="E130" s="2"/>
      <c r="P130" s="2"/>
    </row>
    <row r="131">
      <c r="E131" s="2"/>
      <c r="P131" s="2"/>
    </row>
    <row r="132">
      <c r="E132" s="2"/>
      <c r="P132" s="2"/>
    </row>
    <row r="133">
      <c r="E133" s="2"/>
      <c r="P133" s="2"/>
    </row>
    <row r="134">
      <c r="E134" s="2"/>
      <c r="P134" s="2"/>
    </row>
    <row r="135">
      <c r="E135" s="2"/>
      <c r="P135" s="2"/>
    </row>
    <row r="136">
      <c r="E136" s="2"/>
      <c r="P136" s="2"/>
    </row>
    <row r="137">
      <c r="E137" s="2"/>
      <c r="P137" s="2"/>
    </row>
    <row r="138">
      <c r="E138" s="2"/>
      <c r="P138" s="2"/>
    </row>
    <row r="139">
      <c r="E139" s="2"/>
      <c r="P139" s="2"/>
    </row>
    <row r="140">
      <c r="E140" s="2"/>
      <c r="P140" s="2"/>
    </row>
    <row r="141">
      <c r="E141" s="2"/>
      <c r="P141" s="2"/>
    </row>
    <row r="142">
      <c r="E142" s="2"/>
      <c r="P142" s="2"/>
    </row>
    <row r="143">
      <c r="E143" s="2"/>
      <c r="P143" s="2"/>
    </row>
    <row r="144">
      <c r="E144" s="2"/>
      <c r="P144" s="2"/>
    </row>
    <row r="145">
      <c r="E145" s="2"/>
      <c r="P145" s="2"/>
    </row>
    <row r="146">
      <c r="E146" s="2"/>
      <c r="P146" s="2"/>
    </row>
    <row r="147">
      <c r="E147" s="2"/>
      <c r="P147" s="2"/>
    </row>
    <row r="148">
      <c r="E148" s="2"/>
      <c r="P148" s="2"/>
    </row>
    <row r="149">
      <c r="E149" s="2"/>
      <c r="P149" s="2"/>
    </row>
    <row r="150">
      <c r="E150" s="2"/>
      <c r="P150" s="2"/>
    </row>
    <row r="151">
      <c r="E151" s="2"/>
      <c r="P151" s="2"/>
    </row>
    <row r="152">
      <c r="E152" s="2"/>
      <c r="P152" s="2"/>
    </row>
    <row r="153">
      <c r="E153" s="2"/>
      <c r="P153" s="2"/>
    </row>
    <row r="154">
      <c r="E154" s="2"/>
      <c r="P154" s="2"/>
    </row>
    <row r="155">
      <c r="E155" s="2"/>
      <c r="P155" s="2"/>
    </row>
    <row r="156">
      <c r="E156" s="2"/>
      <c r="P156" s="2"/>
    </row>
    <row r="157">
      <c r="E157" s="2"/>
      <c r="P157" s="2"/>
    </row>
    <row r="158">
      <c r="E158" s="2"/>
      <c r="P158" s="2"/>
    </row>
    <row r="159">
      <c r="E159" s="2"/>
      <c r="P159" s="2"/>
    </row>
    <row r="160">
      <c r="E160" s="2"/>
      <c r="P160" s="2"/>
    </row>
    <row r="161">
      <c r="E161" s="2"/>
      <c r="P161" s="2"/>
    </row>
    <row r="162">
      <c r="E162" s="2"/>
      <c r="P162" s="2"/>
    </row>
    <row r="163">
      <c r="E163" s="2"/>
      <c r="P163" s="2"/>
    </row>
    <row r="164">
      <c r="E164" s="2"/>
      <c r="P164" s="2"/>
    </row>
    <row r="165">
      <c r="E165" s="2"/>
      <c r="P165" s="2"/>
    </row>
    <row r="166">
      <c r="E166" s="2"/>
      <c r="P166" s="2"/>
    </row>
    <row r="167">
      <c r="E167" s="2"/>
      <c r="P167" s="2"/>
    </row>
    <row r="168">
      <c r="E168" s="2"/>
      <c r="P168" s="2"/>
    </row>
    <row r="169">
      <c r="E169" s="2"/>
      <c r="P169" s="2"/>
    </row>
    <row r="170">
      <c r="E170" s="2"/>
      <c r="P170" s="2"/>
    </row>
    <row r="171">
      <c r="E171" s="2"/>
      <c r="P171" s="2"/>
    </row>
    <row r="172">
      <c r="E172" s="2"/>
      <c r="P172" s="2"/>
    </row>
    <row r="173">
      <c r="E173" s="2"/>
      <c r="P173" s="2"/>
    </row>
    <row r="174">
      <c r="E174" s="2"/>
      <c r="P174" s="2"/>
    </row>
    <row r="175">
      <c r="E175" s="2"/>
      <c r="P175" s="2"/>
    </row>
    <row r="176">
      <c r="E176" s="2"/>
      <c r="P176" s="2"/>
    </row>
    <row r="177">
      <c r="E177" s="2"/>
      <c r="P177" s="2"/>
    </row>
    <row r="178">
      <c r="E178" s="2"/>
      <c r="P178" s="2"/>
    </row>
    <row r="179">
      <c r="E179" s="2"/>
      <c r="P179" s="2"/>
    </row>
    <row r="180">
      <c r="E180" s="2"/>
      <c r="P180" s="2"/>
    </row>
    <row r="181">
      <c r="E181" s="2"/>
      <c r="P181" s="2"/>
    </row>
    <row r="182">
      <c r="E182" s="2"/>
      <c r="P182" s="2"/>
    </row>
    <row r="183">
      <c r="E183" s="2"/>
      <c r="P183" s="2"/>
    </row>
    <row r="184">
      <c r="E184" s="2"/>
      <c r="P184" s="2"/>
    </row>
    <row r="185">
      <c r="E185" s="2"/>
      <c r="P185" s="2"/>
    </row>
    <row r="186">
      <c r="E186" s="2"/>
      <c r="P186" s="2"/>
    </row>
    <row r="187">
      <c r="E187" s="2"/>
      <c r="P187" s="2"/>
    </row>
    <row r="188">
      <c r="E188" s="2"/>
      <c r="P188" s="2"/>
    </row>
    <row r="189">
      <c r="E189" s="2"/>
      <c r="P189" s="2"/>
    </row>
    <row r="190">
      <c r="E190" s="2"/>
      <c r="P190" s="2"/>
    </row>
    <row r="191">
      <c r="E191" s="2"/>
      <c r="P191" s="2"/>
    </row>
    <row r="192">
      <c r="E192" s="2"/>
      <c r="P192" s="2"/>
    </row>
    <row r="193">
      <c r="E193" s="2"/>
      <c r="P193" s="2"/>
    </row>
    <row r="194">
      <c r="E194" s="2"/>
      <c r="P194" s="2"/>
    </row>
    <row r="195">
      <c r="E195" s="2"/>
      <c r="P195" s="2"/>
    </row>
    <row r="196">
      <c r="E196" s="2"/>
      <c r="P196" s="2"/>
    </row>
    <row r="197">
      <c r="E197" s="2"/>
      <c r="P197" s="2"/>
    </row>
    <row r="198">
      <c r="E198" s="2"/>
      <c r="P198" s="2"/>
    </row>
    <row r="199">
      <c r="E199" s="2"/>
      <c r="P199" s="2"/>
    </row>
    <row r="200">
      <c r="E200" s="2"/>
      <c r="P200" s="2"/>
    </row>
    <row r="201">
      <c r="E201" s="2"/>
      <c r="P201" s="2"/>
    </row>
    <row r="202">
      <c r="E202" s="2"/>
      <c r="P202" s="2"/>
    </row>
    <row r="203">
      <c r="E203" s="2"/>
      <c r="P203" s="2"/>
    </row>
    <row r="204">
      <c r="E204" s="2"/>
      <c r="P204" s="2"/>
    </row>
    <row r="205">
      <c r="E205" s="2"/>
      <c r="P205" s="2"/>
    </row>
    <row r="206">
      <c r="E206" s="2"/>
      <c r="P206" s="2"/>
    </row>
    <row r="207">
      <c r="E207" s="2"/>
      <c r="P207" s="2"/>
    </row>
    <row r="208">
      <c r="E208" s="2"/>
      <c r="P208" s="2"/>
    </row>
    <row r="209">
      <c r="E209" s="2"/>
      <c r="P209" s="2"/>
    </row>
    <row r="210">
      <c r="E210" s="2"/>
      <c r="P210" s="2"/>
    </row>
    <row r="211">
      <c r="E211" s="2"/>
      <c r="P211" s="2"/>
    </row>
    <row r="212">
      <c r="E212" s="2"/>
      <c r="P212" s="2"/>
    </row>
    <row r="213">
      <c r="E213" s="2"/>
      <c r="P213" s="2"/>
    </row>
    <row r="214">
      <c r="E214" s="2"/>
      <c r="P214" s="2"/>
    </row>
    <row r="215">
      <c r="E215" s="2"/>
      <c r="P215" s="2"/>
    </row>
    <row r="216">
      <c r="E216" s="2"/>
      <c r="P216" s="2"/>
    </row>
    <row r="217">
      <c r="E217" s="2"/>
      <c r="P217" s="2"/>
    </row>
    <row r="218">
      <c r="E218" s="2"/>
      <c r="P218" s="2"/>
    </row>
    <row r="219">
      <c r="E219" s="2"/>
      <c r="P219" s="2"/>
    </row>
    <row r="220">
      <c r="E220" s="2"/>
      <c r="P220" s="2"/>
    </row>
    <row r="221">
      <c r="E221" s="2"/>
      <c r="P221" s="2"/>
    </row>
    <row r="222">
      <c r="E222" s="2"/>
      <c r="P222" s="2"/>
    </row>
    <row r="223">
      <c r="E223" s="2"/>
      <c r="P223" s="2"/>
    </row>
    <row r="224">
      <c r="E224" s="2"/>
      <c r="P224" s="2"/>
    </row>
    <row r="225">
      <c r="E225" s="2"/>
      <c r="P225" s="2"/>
    </row>
    <row r="226">
      <c r="E226" s="2"/>
      <c r="P226" s="2"/>
    </row>
    <row r="227">
      <c r="E227" s="2"/>
      <c r="P227" s="2"/>
    </row>
    <row r="228">
      <c r="E228" s="2"/>
      <c r="P228" s="2"/>
    </row>
    <row r="229">
      <c r="E229" s="2"/>
      <c r="P229" s="2"/>
    </row>
    <row r="230">
      <c r="E230" s="2"/>
      <c r="P230" s="2"/>
    </row>
    <row r="231">
      <c r="E231" s="2"/>
      <c r="P231" s="2"/>
    </row>
    <row r="232">
      <c r="E232" s="2"/>
      <c r="P232" s="2"/>
    </row>
    <row r="233">
      <c r="E233" s="2"/>
      <c r="P233" s="2"/>
    </row>
    <row r="234">
      <c r="E234" s="2"/>
      <c r="P234" s="2"/>
    </row>
    <row r="235">
      <c r="E235" s="2"/>
      <c r="P235" s="2"/>
    </row>
    <row r="236">
      <c r="E236" s="2"/>
      <c r="P236" s="2"/>
    </row>
    <row r="237">
      <c r="E237" s="2"/>
      <c r="P237" s="2"/>
    </row>
    <row r="238">
      <c r="E238" s="2"/>
      <c r="P238" s="2"/>
    </row>
    <row r="239">
      <c r="E239" s="2"/>
      <c r="P239" s="2"/>
    </row>
    <row r="240">
      <c r="E240" s="2"/>
      <c r="P240" s="2"/>
    </row>
    <row r="241">
      <c r="E241" s="2"/>
      <c r="P241" s="2"/>
    </row>
    <row r="242">
      <c r="E242" s="2"/>
      <c r="P242" s="2"/>
    </row>
    <row r="243">
      <c r="E243" s="2"/>
      <c r="P243" s="2"/>
    </row>
    <row r="244">
      <c r="E244" s="2"/>
      <c r="P244" s="2"/>
    </row>
    <row r="245">
      <c r="E245" s="2"/>
      <c r="P245" s="2"/>
    </row>
    <row r="246">
      <c r="E246" s="2"/>
      <c r="P246" s="2"/>
    </row>
    <row r="247">
      <c r="E247" s="2"/>
      <c r="P247" s="2"/>
    </row>
    <row r="248">
      <c r="E248" s="2"/>
      <c r="P248" s="2"/>
    </row>
    <row r="249">
      <c r="E249" s="2"/>
      <c r="P249" s="2"/>
    </row>
    <row r="250">
      <c r="E250" s="2"/>
      <c r="P250" s="2"/>
    </row>
    <row r="251">
      <c r="E251" s="2"/>
      <c r="P251" s="2"/>
    </row>
    <row r="252">
      <c r="E252" s="2"/>
      <c r="P252" s="2"/>
    </row>
    <row r="253">
      <c r="E253" s="2"/>
      <c r="P253" s="2"/>
    </row>
    <row r="254">
      <c r="E254" s="2"/>
      <c r="P254" s="2"/>
    </row>
    <row r="255">
      <c r="E255" s="2"/>
      <c r="P255" s="2"/>
    </row>
    <row r="256">
      <c r="E256" s="2"/>
      <c r="P256" s="2"/>
    </row>
    <row r="257">
      <c r="E257" s="2"/>
      <c r="P257" s="2"/>
    </row>
    <row r="258">
      <c r="E258" s="2"/>
      <c r="P258" s="2"/>
    </row>
    <row r="259">
      <c r="E259" s="2"/>
      <c r="P259" s="2"/>
    </row>
    <row r="260">
      <c r="E260" s="2"/>
      <c r="P260" s="2"/>
    </row>
    <row r="261">
      <c r="E261" s="2"/>
      <c r="P261" s="2"/>
    </row>
    <row r="262">
      <c r="E262" s="2"/>
      <c r="P262" s="2"/>
    </row>
    <row r="263">
      <c r="E263" s="2"/>
      <c r="P263" s="2"/>
    </row>
    <row r="264">
      <c r="E264" s="2"/>
      <c r="P264" s="2"/>
    </row>
    <row r="265">
      <c r="E265" s="2"/>
      <c r="P265" s="2"/>
    </row>
    <row r="266">
      <c r="E266" s="2"/>
      <c r="P266" s="2"/>
    </row>
    <row r="267">
      <c r="E267" s="2"/>
      <c r="P267" s="2"/>
    </row>
    <row r="268">
      <c r="E268" s="2"/>
      <c r="P268" s="2"/>
    </row>
    <row r="269">
      <c r="E269" s="2"/>
      <c r="P269" s="2"/>
    </row>
    <row r="270">
      <c r="E270" s="2"/>
      <c r="P270" s="2"/>
    </row>
    <row r="271">
      <c r="E271" s="2"/>
      <c r="P271" s="2"/>
    </row>
    <row r="272">
      <c r="E272" s="2"/>
      <c r="P272" s="2"/>
    </row>
    <row r="273">
      <c r="E273" s="2"/>
      <c r="P273" s="2"/>
    </row>
    <row r="274">
      <c r="E274" s="2"/>
      <c r="P274" s="2"/>
    </row>
    <row r="275">
      <c r="E275" s="2"/>
      <c r="P275" s="2"/>
    </row>
    <row r="276">
      <c r="E276" s="2"/>
      <c r="P276" s="2"/>
    </row>
    <row r="277">
      <c r="E277" s="2"/>
      <c r="P277" s="2"/>
    </row>
    <row r="278">
      <c r="E278" s="2"/>
      <c r="P278" s="2"/>
    </row>
    <row r="279">
      <c r="E279" s="2"/>
      <c r="P279" s="2"/>
    </row>
    <row r="280">
      <c r="E280" s="2"/>
      <c r="P280" s="2"/>
    </row>
    <row r="281">
      <c r="E281" s="2"/>
      <c r="P281" s="2"/>
    </row>
    <row r="282">
      <c r="E282" s="2"/>
      <c r="P282" s="2"/>
    </row>
    <row r="283">
      <c r="E283" s="2"/>
      <c r="P283" s="2"/>
    </row>
    <row r="284">
      <c r="E284" s="2"/>
      <c r="P284" s="2"/>
    </row>
    <row r="285">
      <c r="E285" s="2"/>
      <c r="P285" s="2"/>
    </row>
    <row r="286">
      <c r="E286" s="2"/>
      <c r="P286" s="2"/>
    </row>
    <row r="287">
      <c r="E287" s="2"/>
      <c r="P287" s="2"/>
    </row>
    <row r="288">
      <c r="E288" s="2"/>
      <c r="P288" s="2"/>
    </row>
    <row r="289">
      <c r="E289" s="2"/>
      <c r="P289" s="2"/>
    </row>
    <row r="290">
      <c r="E290" s="2"/>
      <c r="P290" s="2"/>
    </row>
    <row r="291">
      <c r="E291" s="2"/>
      <c r="P291" s="2"/>
    </row>
    <row r="292">
      <c r="E292" s="2"/>
      <c r="P292" s="2"/>
    </row>
    <row r="293">
      <c r="E293" s="2"/>
      <c r="P293" s="2"/>
    </row>
    <row r="294">
      <c r="E294" s="2"/>
      <c r="P294" s="2"/>
    </row>
    <row r="295">
      <c r="E295" s="2"/>
      <c r="P295" s="2"/>
    </row>
    <row r="296">
      <c r="E296" s="2"/>
      <c r="P296" s="2"/>
    </row>
    <row r="297">
      <c r="E297" s="2"/>
      <c r="P297" s="2"/>
    </row>
    <row r="298">
      <c r="E298" s="2"/>
      <c r="P298" s="2"/>
    </row>
    <row r="299">
      <c r="E299" s="2"/>
      <c r="P299" s="2"/>
    </row>
    <row r="300">
      <c r="E300" s="2"/>
      <c r="P300" s="2"/>
    </row>
    <row r="301">
      <c r="E301" s="2"/>
      <c r="P301" s="2"/>
    </row>
    <row r="302">
      <c r="E302" s="2"/>
      <c r="P302" s="2"/>
    </row>
    <row r="303">
      <c r="E303" s="2"/>
      <c r="P303" s="2"/>
    </row>
    <row r="304">
      <c r="E304" s="2"/>
      <c r="P304" s="2"/>
    </row>
    <row r="305">
      <c r="E305" s="2"/>
      <c r="P305" s="2"/>
    </row>
    <row r="306">
      <c r="E306" s="2"/>
      <c r="P306" s="2"/>
    </row>
    <row r="307">
      <c r="E307" s="2"/>
      <c r="P307" s="2"/>
    </row>
    <row r="308">
      <c r="E308" s="2"/>
      <c r="P308" s="2"/>
    </row>
    <row r="309">
      <c r="E309" s="2"/>
      <c r="P309" s="2"/>
    </row>
    <row r="310">
      <c r="E310" s="2"/>
      <c r="P310" s="2"/>
    </row>
    <row r="311">
      <c r="E311" s="2"/>
      <c r="P311" s="2"/>
    </row>
    <row r="312">
      <c r="E312" s="2"/>
      <c r="P312" s="2"/>
    </row>
    <row r="313">
      <c r="E313" s="2"/>
      <c r="P313" s="2"/>
    </row>
    <row r="314">
      <c r="E314" s="2"/>
      <c r="P314" s="2"/>
    </row>
    <row r="315">
      <c r="E315" s="2"/>
      <c r="P315" s="2"/>
    </row>
    <row r="316">
      <c r="E316" s="2"/>
      <c r="P316" s="2"/>
    </row>
    <row r="317">
      <c r="E317" s="2"/>
      <c r="P317" s="2"/>
    </row>
    <row r="318">
      <c r="E318" s="2"/>
      <c r="P318" s="2"/>
    </row>
    <row r="319">
      <c r="E319" s="2"/>
      <c r="P319" s="2"/>
    </row>
    <row r="320">
      <c r="E320" s="2"/>
      <c r="P320" s="2"/>
    </row>
    <row r="321">
      <c r="E321" s="2"/>
      <c r="P321" s="2"/>
    </row>
    <row r="322">
      <c r="E322" s="2"/>
      <c r="P322" s="2"/>
    </row>
    <row r="323">
      <c r="E323" s="2"/>
      <c r="P323" s="2"/>
    </row>
    <row r="324">
      <c r="E324" s="2"/>
      <c r="P324" s="2"/>
    </row>
    <row r="325">
      <c r="E325" s="2"/>
      <c r="P325" s="2"/>
    </row>
    <row r="326">
      <c r="E326" s="2"/>
      <c r="P326" s="2"/>
    </row>
    <row r="327">
      <c r="E327" s="2"/>
      <c r="P327" s="2"/>
    </row>
    <row r="328">
      <c r="E328" s="2"/>
      <c r="P328" s="2"/>
    </row>
    <row r="329">
      <c r="E329" s="2"/>
      <c r="P329" s="2"/>
    </row>
    <row r="330">
      <c r="E330" s="2"/>
      <c r="P330" s="2"/>
    </row>
    <row r="331">
      <c r="E331" s="2"/>
      <c r="P331" s="2"/>
    </row>
    <row r="332">
      <c r="E332" s="2"/>
      <c r="P332" s="2"/>
    </row>
    <row r="333">
      <c r="E333" s="2"/>
      <c r="P333" s="2"/>
    </row>
    <row r="334">
      <c r="E334" s="2"/>
      <c r="P334" s="2"/>
    </row>
    <row r="335">
      <c r="E335" s="2"/>
      <c r="P335" s="2"/>
    </row>
    <row r="336">
      <c r="E336" s="2"/>
      <c r="P336" s="2"/>
    </row>
    <row r="337">
      <c r="E337" s="2"/>
      <c r="P337" s="2"/>
    </row>
    <row r="338">
      <c r="E338" s="2"/>
      <c r="P338" s="2"/>
    </row>
    <row r="339">
      <c r="E339" s="2"/>
      <c r="P339" s="2"/>
    </row>
    <row r="340">
      <c r="E340" s="2"/>
      <c r="P340" s="2"/>
    </row>
    <row r="341">
      <c r="E341" s="2"/>
      <c r="P341" s="2"/>
    </row>
    <row r="342">
      <c r="E342" s="2"/>
      <c r="P342" s="2"/>
    </row>
    <row r="343">
      <c r="E343" s="2"/>
      <c r="P343" s="2"/>
    </row>
    <row r="344">
      <c r="E344" s="2"/>
      <c r="P344" s="2"/>
    </row>
    <row r="345">
      <c r="E345" s="2"/>
      <c r="P345" s="2"/>
    </row>
    <row r="346">
      <c r="E346" s="2"/>
      <c r="P346" s="2"/>
    </row>
    <row r="347">
      <c r="E347" s="2"/>
      <c r="P347" s="2"/>
    </row>
    <row r="348">
      <c r="E348" s="2"/>
      <c r="P348" s="2"/>
    </row>
    <row r="349">
      <c r="E349" s="2"/>
      <c r="P349" s="2"/>
    </row>
    <row r="350">
      <c r="E350" s="2"/>
      <c r="P350" s="2"/>
    </row>
    <row r="351">
      <c r="E351" s="2"/>
      <c r="P351" s="2"/>
    </row>
    <row r="352">
      <c r="E352" s="2"/>
      <c r="P352" s="2"/>
    </row>
    <row r="353">
      <c r="E353" s="2"/>
      <c r="P353" s="2"/>
    </row>
    <row r="354">
      <c r="E354" s="2"/>
      <c r="P354" s="2"/>
    </row>
    <row r="355">
      <c r="E355" s="2"/>
      <c r="P355" s="2"/>
    </row>
    <row r="356">
      <c r="E356" s="2"/>
      <c r="P356" s="2"/>
    </row>
    <row r="357">
      <c r="E357" s="2"/>
      <c r="P357" s="2"/>
    </row>
    <row r="358">
      <c r="E358" s="2"/>
      <c r="P358" s="2"/>
    </row>
    <row r="359">
      <c r="E359" s="2"/>
      <c r="P359" s="2"/>
    </row>
    <row r="360">
      <c r="E360" s="2"/>
      <c r="P360" s="2"/>
    </row>
    <row r="361">
      <c r="E361" s="2"/>
      <c r="P361" s="2"/>
    </row>
    <row r="362">
      <c r="E362" s="2"/>
      <c r="P362" s="2"/>
    </row>
    <row r="363">
      <c r="E363" s="2"/>
      <c r="P363" s="2"/>
    </row>
    <row r="364">
      <c r="E364" s="2"/>
      <c r="P364" s="2"/>
    </row>
    <row r="365">
      <c r="E365" s="2"/>
      <c r="P365" s="2"/>
    </row>
    <row r="366">
      <c r="E366" s="2"/>
      <c r="P366" s="2"/>
    </row>
    <row r="367">
      <c r="E367" s="2"/>
      <c r="P367" s="2"/>
    </row>
    <row r="368">
      <c r="E368" s="2"/>
      <c r="P368" s="2"/>
    </row>
    <row r="369">
      <c r="E369" s="2"/>
      <c r="P369" s="2"/>
    </row>
    <row r="370">
      <c r="E370" s="2"/>
      <c r="P370" s="2"/>
    </row>
    <row r="371">
      <c r="E371" s="2"/>
      <c r="P371" s="2"/>
    </row>
    <row r="372">
      <c r="E372" s="2"/>
      <c r="P372" s="2"/>
    </row>
    <row r="373">
      <c r="E373" s="2"/>
      <c r="P373" s="2"/>
    </row>
    <row r="374">
      <c r="E374" s="2"/>
      <c r="P374" s="2"/>
    </row>
    <row r="375">
      <c r="E375" s="2"/>
      <c r="P375" s="2"/>
    </row>
    <row r="376">
      <c r="E376" s="2"/>
      <c r="P376" s="2"/>
    </row>
    <row r="377">
      <c r="E377" s="2"/>
      <c r="P377" s="2"/>
    </row>
    <row r="378">
      <c r="E378" s="2"/>
      <c r="P378" s="2"/>
    </row>
    <row r="379">
      <c r="E379" s="2"/>
      <c r="P379" s="2"/>
    </row>
    <row r="380">
      <c r="E380" s="2"/>
      <c r="P380" s="2"/>
    </row>
    <row r="381">
      <c r="E381" s="2"/>
      <c r="P381" s="2"/>
    </row>
    <row r="382">
      <c r="E382" s="2"/>
      <c r="P382" s="2"/>
    </row>
    <row r="383">
      <c r="E383" s="2"/>
      <c r="P383" s="2"/>
    </row>
    <row r="384">
      <c r="E384" s="2"/>
      <c r="P384" s="2"/>
    </row>
    <row r="385">
      <c r="E385" s="2"/>
      <c r="P385" s="2"/>
    </row>
    <row r="386">
      <c r="E386" s="2"/>
      <c r="P386" s="2"/>
    </row>
    <row r="387">
      <c r="E387" s="2"/>
      <c r="P387" s="2"/>
    </row>
    <row r="388">
      <c r="E388" s="2"/>
      <c r="P388" s="2"/>
    </row>
    <row r="389">
      <c r="E389" s="2"/>
      <c r="P389" s="2"/>
    </row>
    <row r="390">
      <c r="E390" s="2"/>
      <c r="P390" s="2"/>
    </row>
    <row r="391">
      <c r="E391" s="2"/>
      <c r="P391" s="2"/>
    </row>
    <row r="392">
      <c r="E392" s="2"/>
      <c r="P392" s="2"/>
    </row>
    <row r="393">
      <c r="E393" s="2"/>
      <c r="P393" s="2"/>
    </row>
    <row r="394">
      <c r="E394" s="2"/>
      <c r="P394" s="2"/>
    </row>
    <row r="395">
      <c r="E395" s="2"/>
      <c r="P395" s="2"/>
    </row>
    <row r="396">
      <c r="E396" s="2"/>
      <c r="P396" s="2"/>
    </row>
    <row r="397">
      <c r="E397" s="2"/>
      <c r="P397" s="2"/>
    </row>
    <row r="398">
      <c r="E398" s="2"/>
      <c r="P398" s="2"/>
    </row>
    <row r="399">
      <c r="E399" s="2"/>
      <c r="P399" s="2"/>
    </row>
    <row r="400">
      <c r="E400" s="2"/>
      <c r="P400" s="2"/>
    </row>
    <row r="401">
      <c r="E401" s="2"/>
      <c r="P401" s="2"/>
    </row>
    <row r="402">
      <c r="E402" s="2"/>
      <c r="P402" s="2"/>
    </row>
    <row r="403">
      <c r="E403" s="2"/>
      <c r="P403" s="2"/>
    </row>
    <row r="404">
      <c r="E404" s="2"/>
      <c r="P404" s="2"/>
    </row>
    <row r="405">
      <c r="E405" s="2"/>
      <c r="P405" s="2"/>
    </row>
    <row r="406">
      <c r="E406" s="2"/>
      <c r="P406" s="2"/>
    </row>
    <row r="407">
      <c r="E407" s="2"/>
      <c r="P407" s="2"/>
    </row>
    <row r="408">
      <c r="E408" s="2"/>
      <c r="P408" s="2"/>
    </row>
    <row r="409">
      <c r="E409" s="2"/>
      <c r="P409" s="2"/>
    </row>
    <row r="410">
      <c r="E410" s="2"/>
      <c r="P410" s="2"/>
    </row>
    <row r="411">
      <c r="E411" s="2"/>
      <c r="P411" s="2"/>
    </row>
    <row r="412">
      <c r="E412" s="2"/>
      <c r="P412" s="2"/>
    </row>
    <row r="413">
      <c r="E413" s="2"/>
      <c r="P413" s="2"/>
    </row>
    <row r="414">
      <c r="E414" s="2"/>
      <c r="P414" s="2"/>
    </row>
    <row r="415">
      <c r="E415" s="2"/>
      <c r="P415" s="2"/>
    </row>
    <row r="416">
      <c r="E416" s="2"/>
      <c r="P416" s="2"/>
    </row>
    <row r="417">
      <c r="E417" s="2"/>
      <c r="P417" s="2"/>
    </row>
    <row r="418">
      <c r="E418" s="2"/>
      <c r="P418" s="2"/>
    </row>
    <row r="419">
      <c r="E419" s="2"/>
      <c r="P419" s="2"/>
    </row>
    <row r="420">
      <c r="E420" s="2"/>
      <c r="P420" s="2"/>
    </row>
    <row r="421">
      <c r="E421" s="2"/>
      <c r="P421" s="2"/>
    </row>
    <row r="422">
      <c r="E422" s="2"/>
      <c r="P422" s="2"/>
    </row>
    <row r="423">
      <c r="E423" s="2"/>
      <c r="P423" s="2"/>
    </row>
    <row r="424">
      <c r="E424" s="2"/>
      <c r="P424" s="2"/>
    </row>
    <row r="425">
      <c r="E425" s="2"/>
      <c r="P425" s="2"/>
    </row>
    <row r="426">
      <c r="E426" s="2"/>
      <c r="P426" s="2"/>
    </row>
    <row r="427">
      <c r="E427" s="2"/>
      <c r="P427" s="2"/>
    </row>
    <row r="428">
      <c r="E428" s="2"/>
      <c r="P428" s="2"/>
    </row>
    <row r="429">
      <c r="E429" s="2"/>
      <c r="P429" s="2"/>
    </row>
    <row r="430">
      <c r="E430" s="2"/>
      <c r="P430" s="2"/>
    </row>
    <row r="431">
      <c r="E431" s="2"/>
      <c r="P431" s="2"/>
    </row>
    <row r="432">
      <c r="E432" s="2"/>
      <c r="P432" s="2"/>
    </row>
    <row r="433">
      <c r="E433" s="2"/>
      <c r="P433" s="2"/>
    </row>
    <row r="434">
      <c r="E434" s="2"/>
      <c r="P434" s="2"/>
    </row>
    <row r="435">
      <c r="E435" s="2"/>
      <c r="P435" s="2"/>
    </row>
    <row r="436">
      <c r="E436" s="2"/>
      <c r="P436" s="2"/>
    </row>
    <row r="437">
      <c r="E437" s="2"/>
      <c r="P437" s="2"/>
    </row>
    <row r="438">
      <c r="E438" s="2"/>
      <c r="P438" s="2"/>
    </row>
    <row r="439">
      <c r="E439" s="2"/>
      <c r="P439" s="2"/>
    </row>
    <row r="440">
      <c r="E440" s="2"/>
      <c r="P440" s="2"/>
    </row>
    <row r="441">
      <c r="E441" s="2"/>
      <c r="P441" s="2"/>
    </row>
    <row r="442">
      <c r="E442" s="2"/>
      <c r="P442" s="2"/>
    </row>
    <row r="443">
      <c r="E443" s="2"/>
      <c r="P443" s="2"/>
    </row>
    <row r="444">
      <c r="E444" s="2"/>
      <c r="P444" s="2"/>
    </row>
    <row r="445">
      <c r="E445" s="2"/>
      <c r="P445" s="2"/>
    </row>
    <row r="446">
      <c r="E446" s="2"/>
      <c r="P446" s="2"/>
    </row>
    <row r="447">
      <c r="E447" s="2"/>
      <c r="P447" s="2"/>
    </row>
    <row r="448">
      <c r="E448" s="2"/>
      <c r="P448" s="2"/>
    </row>
    <row r="449">
      <c r="E449" s="2"/>
      <c r="P449" s="2"/>
    </row>
    <row r="450">
      <c r="E450" s="2"/>
      <c r="P450" s="2"/>
    </row>
    <row r="451">
      <c r="E451" s="2"/>
      <c r="P451" s="2"/>
    </row>
    <row r="452">
      <c r="E452" s="2"/>
      <c r="P452" s="2"/>
    </row>
    <row r="453">
      <c r="E453" s="2"/>
      <c r="P453" s="2"/>
    </row>
    <row r="454">
      <c r="E454" s="2"/>
      <c r="P454" s="2"/>
    </row>
    <row r="455">
      <c r="E455" s="2"/>
      <c r="P455" s="2"/>
    </row>
    <row r="456">
      <c r="E456" s="2"/>
      <c r="P456" s="2"/>
    </row>
    <row r="457">
      <c r="E457" s="2"/>
      <c r="P457" s="2"/>
    </row>
    <row r="458">
      <c r="E458" s="2"/>
      <c r="P458" s="2"/>
    </row>
    <row r="459">
      <c r="E459" s="2"/>
      <c r="P459" s="2"/>
    </row>
    <row r="460">
      <c r="E460" s="2"/>
      <c r="P460" s="2"/>
    </row>
    <row r="461">
      <c r="E461" s="2"/>
      <c r="P461" s="2"/>
    </row>
    <row r="462">
      <c r="E462" s="2"/>
      <c r="P462" s="2"/>
    </row>
    <row r="463">
      <c r="E463" s="2"/>
      <c r="P463" s="2"/>
    </row>
    <row r="464">
      <c r="E464" s="2"/>
      <c r="P464" s="2"/>
    </row>
    <row r="465">
      <c r="E465" s="2"/>
      <c r="P465" s="2"/>
    </row>
    <row r="466">
      <c r="E466" s="2"/>
      <c r="P466" s="2"/>
    </row>
    <row r="467">
      <c r="E467" s="2"/>
      <c r="P467" s="2"/>
    </row>
    <row r="468">
      <c r="E468" s="2"/>
      <c r="P468" s="2"/>
    </row>
    <row r="469">
      <c r="E469" s="2"/>
      <c r="P469" s="2"/>
    </row>
    <row r="470">
      <c r="E470" s="2"/>
      <c r="P470" s="2"/>
    </row>
    <row r="471">
      <c r="E471" s="2"/>
      <c r="P471" s="2"/>
    </row>
    <row r="472">
      <c r="E472" s="2"/>
      <c r="P472" s="2"/>
    </row>
    <row r="473">
      <c r="E473" s="2"/>
      <c r="P473" s="2"/>
    </row>
    <row r="474">
      <c r="E474" s="2"/>
      <c r="P474" s="2"/>
    </row>
    <row r="475">
      <c r="E475" s="2"/>
      <c r="P475" s="2"/>
    </row>
    <row r="476">
      <c r="E476" s="2"/>
      <c r="P476" s="2"/>
    </row>
    <row r="477">
      <c r="E477" s="2"/>
      <c r="P477" s="2"/>
    </row>
    <row r="478">
      <c r="E478" s="2"/>
      <c r="P478" s="2"/>
    </row>
    <row r="479">
      <c r="E479" s="2"/>
      <c r="P479" s="2"/>
    </row>
    <row r="480">
      <c r="E480" s="2"/>
      <c r="P480" s="2"/>
    </row>
    <row r="481">
      <c r="E481" s="2"/>
      <c r="P481" s="2"/>
    </row>
    <row r="482">
      <c r="E482" s="2"/>
      <c r="P482" s="2"/>
    </row>
    <row r="483">
      <c r="E483" s="2"/>
      <c r="P483" s="2"/>
    </row>
    <row r="484">
      <c r="E484" s="2"/>
      <c r="P484" s="2"/>
    </row>
    <row r="485">
      <c r="E485" s="2"/>
      <c r="P485" s="2"/>
    </row>
    <row r="486">
      <c r="E486" s="2"/>
      <c r="P486" s="2"/>
    </row>
    <row r="487">
      <c r="E487" s="2"/>
      <c r="P487" s="2"/>
    </row>
    <row r="488">
      <c r="E488" s="2"/>
      <c r="P488" s="2"/>
    </row>
    <row r="489">
      <c r="E489" s="2"/>
      <c r="P489" s="2"/>
    </row>
    <row r="490">
      <c r="E490" s="2"/>
      <c r="P490" s="2"/>
    </row>
    <row r="491">
      <c r="E491" s="2"/>
      <c r="P491" s="2"/>
    </row>
    <row r="492">
      <c r="E492" s="2"/>
      <c r="P492" s="2"/>
    </row>
    <row r="493">
      <c r="E493" s="2"/>
      <c r="P493" s="2"/>
    </row>
    <row r="494">
      <c r="E494" s="2"/>
      <c r="P494" s="2"/>
    </row>
    <row r="495">
      <c r="E495" s="2"/>
      <c r="P495" s="2"/>
    </row>
    <row r="496">
      <c r="E496" s="2"/>
      <c r="P496" s="2"/>
    </row>
    <row r="497">
      <c r="E497" s="2"/>
      <c r="P497" s="2"/>
    </row>
    <row r="498">
      <c r="E498" s="2"/>
      <c r="P498" s="2"/>
    </row>
    <row r="499">
      <c r="E499" s="2"/>
      <c r="P499" s="2"/>
    </row>
    <row r="500">
      <c r="E500" s="2"/>
      <c r="P500" s="2"/>
    </row>
    <row r="501">
      <c r="E501" s="2"/>
      <c r="P501" s="2"/>
    </row>
    <row r="502">
      <c r="E502" s="2"/>
      <c r="P502" s="2"/>
    </row>
    <row r="503">
      <c r="E503" s="2"/>
      <c r="P503" s="2"/>
    </row>
    <row r="504">
      <c r="E504" s="2"/>
      <c r="P504" s="2"/>
    </row>
    <row r="505">
      <c r="E505" s="2"/>
      <c r="P505" s="2"/>
    </row>
    <row r="506">
      <c r="E506" s="2"/>
      <c r="P506" s="2"/>
    </row>
    <row r="507">
      <c r="E507" s="2"/>
      <c r="P507" s="2"/>
    </row>
    <row r="508">
      <c r="E508" s="2"/>
      <c r="P508" s="2"/>
    </row>
    <row r="509">
      <c r="E509" s="2"/>
      <c r="P509" s="2"/>
    </row>
    <row r="510">
      <c r="E510" s="2"/>
      <c r="P510" s="2"/>
    </row>
    <row r="511">
      <c r="E511" s="2"/>
      <c r="P511" s="2"/>
    </row>
    <row r="512">
      <c r="E512" s="2"/>
      <c r="P512" s="2"/>
    </row>
    <row r="513">
      <c r="E513" s="2"/>
      <c r="P513" s="2"/>
    </row>
    <row r="514">
      <c r="E514" s="2"/>
      <c r="P514" s="2"/>
    </row>
    <row r="515">
      <c r="E515" s="2"/>
      <c r="P515" s="2"/>
    </row>
    <row r="516">
      <c r="E516" s="2"/>
      <c r="P516" s="2"/>
    </row>
    <row r="517">
      <c r="E517" s="2"/>
      <c r="P517" s="2"/>
    </row>
    <row r="518">
      <c r="E518" s="2"/>
      <c r="P518" s="2"/>
    </row>
    <row r="519">
      <c r="E519" s="2"/>
      <c r="P519" s="2"/>
    </row>
    <row r="520">
      <c r="E520" s="2"/>
      <c r="P520" s="2"/>
    </row>
    <row r="521">
      <c r="E521" s="2"/>
      <c r="P521" s="2"/>
    </row>
    <row r="522">
      <c r="E522" s="2"/>
      <c r="P522" s="2"/>
    </row>
    <row r="523">
      <c r="E523" s="2"/>
      <c r="P523" s="2"/>
    </row>
    <row r="524">
      <c r="E524" s="2"/>
      <c r="P524" s="2"/>
    </row>
    <row r="525">
      <c r="E525" s="2"/>
      <c r="P525" s="2"/>
    </row>
    <row r="526">
      <c r="E526" s="2"/>
      <c r="P526" s="2"/>
    </row>
    <row r="527">
      <c r="E527" s="2"/>
      <c r="P527" s="2"/>
    </row>
    <row r="528">
      <c r="E528" s="2"/>
      <c r="P528" s="2"/>
    </row>
    <row r="529">
      <c r="E529" s="2"/>
      <c r="P529" s="2"/>
    </row>
    <row r="530">
      <c r="E530" s="2"/>
      <c r="P530" s="2"/>
    </row>
    <row r="531">
      <c r="E531" s="2"/>
      <c r="P531" s="2"/>
    </row>
    <row r="532">
      <c r="E532" s="2"/>
      <c r="P532" s="2"/>
    </row>
    <row r="533">
      <c r="E533" s="2"/>
      <c r="P533" s="2"/>
    </row>
    <row r="534">
      <c r="E534" s="2"/>
      <c r="P534" s="2"/>
    </row>
    <row r="535">
      <c r="E535" s="2"/>
      <c r="P535" s="2"/>
    </row>
    <row r="536">
      <c r="E536" s="2"/>
      <c r="P536" s="2"/>
    </row>
    <row r="537">
      <c r="E537" s="2"/>
      <c r="P537" s="2"/>
    </row>
    <row r="538">
      <c r="E538" s="2"/>
      <c r="P538" s="2"/>
    </row>
    <row r="539">
      <c r="E539" s="2"/>
      <c r="P539" s="2"/>
    </row>
    <row r="540">
      <c r="E540" s="2"/>
      <c r="P540" s="2"/>
    </row>
    <row r="541">
      <c r="E541" s="2"/>
      <c r="P541" s="2"/>
    </row>
    <row r="542">
      <c r="E542" s="2"/>
      <c r="P542" s="2"/>
    </row>
    <row r="543">
      <c r="E543" s="2"/>
      <c r="P543" s="2"/>
    </row>
    <row r="544">
      <c r="E544" s="2"/>
      <c r="P544" s="2"/>
    </row>
    <row r="545">
      <c r="E545" s="2"/>
      <c r="P545" s="2"/>
    </row>
    <row r="546">
      <c r="E546" s="2"/>
      <c r="P546" s="2"/>
    </row>
    <row r="547">
      <c r="E547" s="2"/>
      <c r="P547" s="2"/>
    </row>
    <row r="548">
      <c r="E548" s="2"/>
      <c r="P548" s="2"/>
    </row>
    <row r="549">
      <c r="E549" s="2"/>
      <c r="P549" s="2"/>
    </row>
    <row r="550">
      <c r="E550" s="2"/>
      <c r="P550" s="2"/>
    </row>
    <row r="551">
      <c r="E551" s="2"/>
      <c r="P551" s="2"/>
    </row>
    <row r="552">
      <c r="E552" s="2"/>
      <c r="P552" s="2"/>
    </row>
    <row r="553">
      <c r="E553" s="2"/>
      <c r="P553" s="2"/>
    </row>
    <row r="554">
      <c r="E554" s="2"/>
      <c r="P554" s="2"/>
    </row>
    <row r="555">
      <c r="E555" s="2"/>
      <c r="P555" s="2"/>
    </row>
    <row r="556">
      <c r="E556" s="2"/>
      <c r="P556" s="2"/>
    </row>
    <row r="557">
      <c r="E557" s="2"/>
      <c r="P557" s="2"/>
    </row>
    <row r="558">
      <c r="E558" s="2"/>
      <c r="P558" s="2"/>
    </row>
    <row r="559">
      <c r="E559" s="2"/>
      <c r="P559" s="2"/>
    </row>
    <row r="560">
      <c r="E560" s="2"/>
      <c r="P560" s="2"/>
    </row>
    <row r="561">
      <c r="E561" s="2"/>
      <c r="P561" s="2"/>
    </row>
    <row r="562">
      <c r="E562" s="2"/>
      <c r="P562" s="2"/>
    </row>
    <row r="563">
      <c r="E563" s="2"/>
      <c r="P563" s="2"/>
    </row>
    <row r="564">
      <c r="E564" s="2"/>
      <c r="P564" s="2"/>
    </row>
    <row r="565">
      <c r="E565" s="2"/>
      <c r="P565" s="2"/>
    </row>
    <row r="566">
      <c r="E566" s="2"/>
      <c r="P566" s="2"/>
    </row>
    <row r="567">
      <c r="E567" s="2"/>
      <c r="P567" s="2"/>
    </row>
    <row r="568">
      <c r="E568" s="2"/>
      <c r="P568" s="2"/>
    </row>
    <row r="569">
      <c r="E569" s="2"/>
      <c r="P569" s="2"/>
    </row>
    <row r="570">
      <c r="E570" s="2"/>
      <c r="P570" s="2"/>
    </row>
    <row r="571">
      <c r="E571" s="2"/>
      <c r="P571" s="2"/>
    </row>
    <row r="572">
      <c r="E572" s="2"/>
      <c r="P572" s="2"/>
    </row>
    <row r="573">
      <c r="E573" s="2"/>
      <c r="P573" s="2"/>
    </row>
    <row r="574">
      <c r="E574" s="2"/>
      <c r="P574" s="2"/>
    </row>
    <row r="575">
      <c r="E575" s="2"/>
      <c r="P575" s="2"/>
    </row>
    <row r="576">
      <c r="E576" s="2"/>
      <c r="P576" s="2"/>
    </row>
    <row r="577">
      <c r="E577" s="2"/>
      <c r="P577" s="2"/>
    </row>
    <row r="578">
      <c r="E578" s="2"/>
      <c r="P578" s="2"/>
    </row>
    <row r="579">
      <c r="E579" s="2"/>
      <c r="P579" s="2"/>
    </row>
    <row r="580">
      <c r="E580" s="2"/>
      <c r="P580" s="2"/>
    </row>
    <row r="581">
      <c r="E581" s="2"/>
      <c r="P581" s="2"/>
    </row>
    <row r="582">
      <c r="E582" s="2"/>
      <c r="P582" s="2"/>
    </row>
    <row r="583">
      <c r="E583" s="2"/>
      <c r="P583" s="2"/>
    </row>
    <row r="584">
      <c r="E584" s="2"/>
      <c r="P584" s="2"/>
    </row>
    <row r="585">
      <c r="E585" s="2"/>
      <c r="P585" s="2"/>
    </row>
    <row r="586">
      <c r="E586" s="2"/>
      <c r="P586" s="2"/>
    </row>
    <row r="587">
      <c r="E587" s="2"/>
      <c r="P587" s="2"/>
    </row>
    <row r="588">
      <c r="E588" s="2"/>
      <c r="P588" s="2"/>
    </row>
    <row r="589">
      <c r="E589" s="2"/>
      <c r="P589" s="2"/>
    </row>
    <row r="590">
      <c r="E590" s="2"/>
      <c r="P590" s="2"/>
    </row>
    <row r="591">
      <c r="E591" s="2"/>
      <c r="P591" s="2"/>
    </row>
    <row r="592">
      <c r="E592" s="2"/>
      <c r="P592" s="2"/>
    </row>
    <row r="593">
      <c r="E593" s="2"/>
      <c r="P593" s="2"/>
    </row>
    <row r="594">
      <c r="E594" s="2"/>
      <c r="P594" s="2"/>
    </row>
    <row r="595">
      <c r="E595" s="2"/>
      <c r="P595" s="2"/>
    </row>
    <row r="596">
      <c r="E596" s="2"/>
      <c r="P596" s="2"/>
    </row>
    <row r="597">
      <c r="E597" s="2"/>
      <c r="P597" s="2"/>
    </row>
    <row r="598">
      <c r="E598" s="2"/>
      <c r="P598" s="2"/>
    </row>
    <row r="599">
      <c r="E599" s="2"/>
      <c r="P599" s="2"/>
    </row>
    <row r="600">
      <c r="E600" s="2"/>
      <c r="P600" s="2"/>
    </row>
    <row r="601">
      <c r="E601" s="2"/>
      <c r="P601" s="2"/>
    </row>
    <row r="602">
      <c r="E602" s="2"/>
      <c r="P602" s="2"/>
    </row>
    <row r="603">
      <c r="E603" s="2"/>
      <c r="P603" s="2"/>
    </row>
    <row r="604">
      <c r="E604" s="2"/>
      <c r="P604" s="2"/>
    </row>
    <row r="605">
      <c r="E605" s="2"/>
      <c r="P605" s="2"/>
    </row>
    <row r="606">
      <c r="E606" s="2"/>
      <c r="P606" s="2"/>
    </row>
    <row r="607">
      <c r="E607" s="2"/>
      <c r="P607" s="2"/>
    </row>
    <row r="608">
      <c r="E608" s="2"/>
      <c r="P608" s="2"/>
    </row>
    <row r="609">
      <c r="E609" s="2"/>
      <c r="P609" s="2"/>
    </row>
    <row r="610">
      <c r="E610" s="2"/>
      <c r="P610" s="2"/>
    </row>
    <row r="611">
      <c r="E611" s="2"/>
      <c r="P611" s="2"/>
    </row>
    <row r="612">
      <c r="E612" s="2"/>
      <c r="P612" s="2"/>
    </row>
    <row r="613">
      <c r="E613" s="2"/>
      <c r="P613" s="2"/>
    </row>
    <row r="614">
      <c r="E614" s="2"/>
      <c r="P614" s="2"/>
    </row>
    <row r="615">
      <c r="E615" s="2"/>
      <c r="P615" s="2"/>
    </row>
    <row r="616">
      <c r="E616" s="2"/>
      <c r="P616" s="2"/>
    </row>
    <row r="617">
      <c r="E617" s="2"/>
      <c r="P617" s="2"/>
    </row>
    <row r="618">
      <c r="E618" s="2"/>
      <c r="P618" s="2"/>
    </row>
    <row r="619">
      <c r="E619" s="2"/>
      <c r="P619" s="2"/>
    </row>
    <row r="620">
      <c r="E620" s="2"/>
      <c r="P620" s="2"/>
    </row>
    <row r="621">
      <c r="E621" s="2"/>
      <c r="P621" s="2"/>
    </row>
    <row r="622">
      <c r="E622" s="2"/>
      <c r="P622" s="2"/>
    </row>
    <row r="623">
      <c r="E623" s="2"/>
      <c r="P623" s="2"/>
    </row>
    <row r="624">
      <c r="E624" s="2"/>
      <c r="P624" s="2"/>
    </row>
    <row r="625">
      <c r="E625" s="2"/>
      <c r="P625" s="2"/>
    </row>
    <row r="626">
      <c r="E626" s="2"/>
      <c r="P626" s="2"/>
    </row>
    <row r="627">
      <c r="E627" s="2"/>
      <c r="P627" s="2"/>
    </row>
    <row r="628">
      <c r="E628" s="2"/>
      <c r="P628" s="2"/>
    </row>
    <row r="629">
      <c r="E629" s="2"/>
      <c r="P629" s="2"/>
    </row>
    <row r="630">
      <c r="E630" s="2"/>
      <c r="P630" s="2"/>
    </row>
    <row r="631">
      <c r="E631" s="2"/>
      <c r="P631" s="2"/>
    </row>
    <row r="632">
      <c r="E632" s="2"/>
      <c r="P632" s="2"/>
    </row>
    <row r="633">
      <c r="E633" s="2"/>
      <c r="P633" s="2"/>
    </row>
    <row r="634">
      <c r="E634" s="2"/>
      <c r="P634" s="2"/>
    </row>
    <row r="635">
      <c r="E635" s="2"/>
      <c r="P635" s="2"/>
    </row>
    <row r="636">
      <c r="E636" s="2"/>
      <c r="P636" s="2"/>
    </row>
    <row r="637">
      <c r="E637" s="2"/>
      <c r="P637" s="2"/>
    </row>
    <row r="638">
      <c r="E638" s="2"/>
      <c r="P638" s="2"/>
    </row>
    <row r="639">
      <c r="E639" s="2"/>
      <c r="P639" s="2"/>
    </row>
    <row r="640">
      <c r="E640" s="2"/>
      <c r="P640" s="2"/>
    </row>
    <row r="641">
      <c r="E641" s="2"/>
      <c r="P641" s="2"/>
    </row>
    <row r="642">
      <c r="E642" s="2"/>
      <c r="P642" s="2"/>
    </row>
    <row r="643">
      <c r="E643" s="2"/>
      <c r="P643" s="2"/>
    </row>
    <row r="644">
      <c r="E644" s="2"/>
      <c r="P644" s="2"/>
    </row>
    <row r="645">
      <c r="E645" s="2"/>
      <c r="P645" s="2"/>
    </row>
    <row r="646">
      <c r="E646" s="2"/>
      <c r="P646" s="2"/>
    </row>
    <row r="647">
      <c r="E647" s="2"/>
      <c r="P647" s="2"/>
    </row>
    <row r="648">
      <c r="E648" s="2"/>
      <c r="P648" s="2"/>
    </row>
    <row r="649">
      <c r="E649" s="2"/>
      <c r="P649" s="2"/>
    </row>
    <row r="650">
      <c r="E650" s="2"/>
      <c r="P650" s="2"/>
    </row>
    <row r="651">
      <c r="E651" s="2"/>
      <c r="P651" s="2"/>
    </row>
    <row r="652">
      <c r="E652" s="2"/>
      <c r="P652" s="2"/>
    </row>
    <row r="653">
      <c r="E653" s="2"/>
      <c r="P653" s="2"/>
    </row>
    <row r="654">
      <c r="E654" s="2"/>
      <c r="P654" s="2"/>
    </row>
    <row r="655">
      <c r="E655" s="2"/>
      <c r="P655" s="2"/>
    </row>
    <row r="656">
      <c r="E656" s="2"/>
      <c r="P656" s="2"/>
    </row>
    <row r="657">
      <c r="E657" s="2"/>
      <c r="P657" s="2"/>
    </row>
    <row r="658">
      <c r="E658" s="2"/>
      <c r="P658" s="2"/>
    </row>
    <row r="659">
      <c r="E659" s="2"/>
      <c r="P659" s="2"/>
    </row>
    <row r="660">
      <c r="E660" s="2"/>
      <c r="P660" s="2"/>
    </row>
    <row r="661">
      <c r="E661" s="2"/>
      <c r="P661" s="2"/>
    </row>
    <row r="662">
      <c r="E662" s="2"/>
      <c r="P662" s="2"/>
    </row>
    <row r="663">
      <c r="E663" s="2"/>
      <c r="P663" s="2"/>
    </row>
    <row r="664">
      <c r="E664" s="2"/>
      <c r="P664" s="2"/>
    </row>
    <row r="665">
      <c r="E665" s="2"/>
      <c r="P665" s="2"/>
    </row>
    <row r="666">
      <c r="E666" s="2"/>
      <c r="P666" s="2"/>
    </row>
    <row r="667">
      <c r="E667" s="2"/>
      <c r="P667" s="2"/>
    </row>
    <row r="668">
      <c r="E668" s="2"/>
      <c r="P668" s="2"/>
    </row>
    <row r="669">
      <c r="E669" s="2"/>
      <c r="P669" s="2"/>
    </row>
    <row r="670">
      <c r="E670" s="2"/>
      <c r="P670" s="2"/>
    </row>
    <row r="671">
      <c r="E671" s="2"/>
      <c r="P671" s="2"/>
    </row>
    <row r="672">
      <c r="E672" s="2"/>
      <c r="P672" s="2"/>
    </row>
    <row r="673">
      <c r="E673" s="2"/>
      <c r="P673" s="2"/>
    </row>
    <row r="674">
      <c r="E674" s="2"/>
      <c r="P674" s="2"/>
    </row>
    <row r="675">
      <c r="E675" s="2"/>
      <c r="P675" s="2"/>
    </row>
    <row r="676">
      <c r="E676" s="2"/>
      <c r="P676" s="2"/>
    </row>
    <row r="677">
      <c r="E677" s="2"/>
      <c r="P677" s="2"/>
    </row>
    <row r="678">
      <c r="E678" s="2"/>
      <c r="P678" s="2"/>
    </row>
    <row r="679">
      <c r="E679" s="2"/>
      <c r="P679" s="2"/>
    </row>
    <row r="680">
      <c r="E680" s="2"/>
      <c r="P680" s="2"/>
    </row>
    <row r="681">
      <c r="E681" s="2"/>
      <c r="P681" s="2"/>
    </row>
    <row r="682">
      <c r="E682" s="2"/>
      <c r="P682" s="2"/>
    </row>
    <row r="683">
      <c r="E683" s="2"/>
      <c r="P683" s="2"/>
    </row>
    <row r="684">
      <c r="E684" s="2"/>
      <c r="P684" s="2"/>
    </row>
    <row r="685">
      <c r="E685" s="2"/>
      <c r="P685" s="2"/>
    </row>
    <row r="686">
      <c r="E686" s="2"/>
      <c r="P686" s="2"/>
    </row>
    <row r="687">
      <c r="E687" s="2"/>
      <c r="P687" s="2"/>
    </row>
    <row r="688">
      <c r="E688" s="2"/>
      <c r="P688" s="2"/>
    </row>
    <row r="689">
      <c r="E689" s="2"/>
      <c r="P689" s="2"/>
    </row>
    <row r="690">
      <c r="E690" s="2"/>
      <c r="P690" s="2"/>
    </row>
    <row r="691">
      <c r="E691" s="2"/>
      <c r="P691" s="2"/>
    </row>
    <row r="692">
      <c r="E692" s="2"/>
      <c r="P692" s="2"/>
    </row>
    <row r="693">
      <c r="E693" s="2"/>
      <c r="P693" s="2"/>
    </row>
    <row r="694">
      <c r="E694" s="2"/>
      <c r="P694" s="2"/>
    </row>
    <row r="695">
      <c r="E695" s="2"/>
      <c r="P695" s="2"/>
    </row>
    <row r="696">
      <c r="E696" s="2"/>
      <c r="P696" s="2"/>
    </row>
    <row r="697">
      <c r="E697" s="2"/>
      <c r="P697" s="2"/>
    </row>
    <row r="698">
      <c r="E698" s="2"/>
      <c r="P698" s="2"/>
    </row>
    <row r="699">
      <c r="E699" s="2"/>
      <c r="P699" s="2"/>
    </row>
    <row r="700">
      <c r="E700" s="2"/>
      <c r="P700" s="2"/>
    </row>
    <row r="701">
      <c r="E701" s="2"/>
      <c r="P701" s="2"/>
    </row>
    <row r="702">
      <c r="E702" s="2"/>
      <c r="P702" s="2"/>
    </row>
    <row r="703">
      <c r="E703" s="2"/>
      <c r="P703" s="2"/>
    </row>
    <row r="704">
      <c r="E704" s="2"/>
      <c r="P704" s="2"/>
    </row>
    <row r="705">
      <c r="E705" s="2"/>
      <c r="P705" s="2"/>
    </row>
    <row r="706">
      <c r="E706" s="2"/>
      <c r="P706" s="2"/>
    </row>
    <row r="707">
      <c r="E707" s="2"/>
      <c r="P707" s="2"/>
    </row>
    <row r="708">
      <c r="E708" s="2"/>
      <c r="P708" s="2"/>
    </row>
    <row r="709">
      <c r="E709" s="2"/>
      <c r="P709" s="2"/>
    </row>
    <row r="710">
      <c r="E710" s="2"/>
      <c r="P710" s="2"/>
    </row>
    <row r="711">
      <c r="E711" s="2"/>
      <c r="P711" s="2"/>
    </row>
    <row r="712">
      <c r="E712" s="2"/>
      <c r="P712" s="2"/>
    </row>
    <row r="713">
      <c r="E713" s="2"/>
      <c r="P713" s="2"/>
    </row>
    <row r="714">
      <c r="E714" s="2"/>
      <c r="P714" s="2"/>
    </row>
    <row r="715">
      <c r="E715" s="2"/>
      <c r="P715" s="2"/>
    </row>
    <row r="716">
      <c r="E716" s="2"/>
      <c r="P716" s="2"/>
    </row>
    <row r="717">
      <c r="E717" s="2"/>
      <c r="P717" s="2"/>
    </row>
    <row r="718">
      <c r="E718" s="2"/>
      <c r="P718" s="2"/>
    </row>
    <row r="719">
      <c r="E719" s="2"/>
      <c r="P719" s="2"/>
    </row>
    <row r="720">
      <c r="E720" s="2"/>
      <c r="P720" s="2"/>
    </row>
    <row r="721">
      <c r="E721" s="2"/>
      <c r="P721" s="2"/>
    </row>
    <row r="722">
      <c r="E722" s="2"/>
      <c r="P722" s="2"/>
    </row>
    <row r="723">
      <c r="E723" s="2"/>
      <c r="P723" s="2"/>
    </row>
    <row r="724">
      <c r="E724" s="2"/>
      <c r="P724" s="2"/>
    </row>
    <row r="725">
      <c r="E725" s="2"/>
      <c r="P725" s="2"/>
    </row>
    <row r="726">
      <c r="E726" s="2"/>
      <c r="P726" s="2"/>
    </row>
    <row r="727">
      <c r="E727" s="2"/>
      <c r="P727" s="2"/>
    </row>
    <row r="728">
      <c r="E728" s="2"/>
      <c r="P728" s="2"/>
    </row>
    <row r="729">
      <c r="E729" s="2"/>
      <c r="P729" s="2"/>
    </row>
    <row r="730">
      <c r="E730" s="2"/>
      <c r="P730" s="2"/>
    </row>
    <row r="731">
      <c r="E731" s="2"/>
      <c r="P731" s="2"/>
    </row>
    <row r="732">
      <c r="E732" s="2"/>
      <c r="P732" s="2"/>
    </row>
    <row r="733">
      <c r="E733" s="2"/>
      <c r="P733" s="2"/>
    </row>
    <row r="734">
      <c r="E734" s="2"/>
      <c r="P734" s="2"/>
    </row>
    <row r="735">
      <c r="E735" s="2"/>
      <c r="P735" s="2"/>
    </row>
    <row r="736">
      <c r="E736" s="2"/>
      <c r="P736" s="2"/>
    </row>
    <row r="737">
      <c r="E737" s="2"/>
      <c r="P737" s="2"/>
    </row>
    <row r="738">
      <c r="E738" s="2"/>
      <c r="P738" s="2"/>
    </row>
    <row r="739">
      <c r="E739" s="2"/>
      <c r="P739" s="2"/>
    </row>
    <row r="740">
      <c r="E740" s="2"/>
      <c r="P740" s="2"/>
    </row>
    <row r="741">
      <c r="E741" s="2"/>
      <c r="P741" s="2"/>
    </row>
    <row r="742">
      <c r="E742" s="2"/>
      <c r="P742" s="2"/>
    </row>
    <row r="743">
      <c r="E743" s="2"/>
      <c r="P743" s="2"/>
    </row>
    <row r="744">
      <c r="E744" s="2"/>
      <c r="P744" s="2"/>
    </row>
    <row r="745">
      <c r="E745" s="2"/>
      <c r="P745" s="2"/>
    </row>
    <row r="746">
      <c r="E746" s="2"/>
      <c r="P746" s="2"/>
    </row>
    <row r="747">
      <c r="E747" s="2"/>
      <c r="P747" s="2"/>
    </row>
    <row r="748">
      <c r="E748" s="2"/>
      <c r="P748" s="2"/>
    </row>
    <row r="749">
      <c r="E749" s="2"/>
      <c r="P749" s="2"/>
    </row>
    <row r="750">
      <c r="E750" s="2"/>
      <c r="P750" s="2"/>
    </row>
    <row r="751">
      <c r="E751" s="2"/>
      <c r="P751" s="2"/>
    </row>
    <row r="752">
      <c r="E752" s="2"/>
      <c r="P752" s="2"/>
    </row>
    <row r="753">
      <c r="E753" s="2"/>
      <c r="P753" s="2"/>
    </row>
    <row r="754">
      <c r="E754" s="2"/>
      <c r="P754" s="2"/>
    </row>
    <row r="755">
      <c r="E755" s="2"/>
      <c r="P755" s="2"/>
    </row>
    <row r="756">
      <c r="E756" s="2"/>
      <c r="P756" s="2"/>
    </row>
    <row r="757">
      <c r="E757" s="2"/>
      <c r="P757" s="2"/>
    </row>
    <row r="758">
      <c r="E758" s="2"/>
      <c r="P758" s="2"/>
    </row>
    <row r="759">
      <c r="E759" s="2"/>
      <c r="P759" s="2"/>
    </row>
    <row r="760">
      <c r="E760" s="2"/>
      <c r="P760" s="2"/>
    </row>
    <row r="761">
      <c r="E761" s="2"/>
      <c r="P761" s="2"/>
    </row>
    <row r="762">
      <c r="E762" s="2"/>
      <c r="P762" s="2"/>
    </row>
    <row r="763">
      <c r="E763" s="2"/>
      <c r="P763" s="2"/>
    </row>
    <row r="764">
      <c r="E764" s="2"/>
      <c r="P764" s="2"/>
    </row>
    <row r="765">
      <c r="E765" s="2"/>
      <c r="P765" s="2"/>
    </row>
    <row r="766">
      <c r="E766" s="2"/>
      <c r="P766" s="2"/>
    </row>
    <row r="767">
      <c r="E767" s="2"/>
      <c r="P767" s="2"/>
    </row>
    <row r="768">
      <c r="E768" s="2"/>
      <c r="P768" s="2"/>
    </row>
    <row r="769">
      <c r="E769" s="2"/>
      <c r="P769" s="2"/>
    </row>
    <row r="770">
      <c r="E770" s="2"/>
      <c r="P770" s="2"/>
    </row>
    <row r="771">
      <c r="E771" s="2"/>
      <c r="P771" s="2"/>
    </row>
    <row r="772">
      <c r="E772" s="2"/>
      <c r="P772" s="2"/>
    </row>
    <row r="773">
      <c r="E773" s="2"/>
      <c r="P773" s="2"/>
    </row>
    <row r="774">
      <c r="E774" s="2"/>
      <c r="P774" s="2"/>
    </row>
    <row r="775">
      <c r="E775" s="2"/>
      <c r="P775" s="2"/>
    </row>
    <row r="776">
      <c r="E776" s="2"/>
      <c r="P776" s="2"/>
    </row>
    <row r="777">
      <c r="E777" s="2"/>
      <c r="P777" s="2"/>
    </row>
    <row r="778">
      <c r="E778" s="2"/>
      <c r="P778" s="2"/>
    </row>
    <row r="779">
      <c r="E779" s="2"/>
      <c r="P779" s="2"/>
    </row>
    <row r="780">
      <c r="E780" s="2"/>
      <c r="P780" s="2"/>
    </row>
    <row r="781">
      <c r="E781" s="2"/>
      <c r="P781" s="2"/>
    </row>
    <row r="782">
      <c r="E782" s="2"/>
      <c r="P782" s="2"/>
    </row>
    <row r="783">
      <c r="E783" s="2"/>
      <c r="P783" s="2"/>
    </row>
    <row r="784">
      <c r="E784" s="2"/>
      <c r="P784" s="2"/>
    </row>
    <row r="785">
      <c r="E785" s="2"/>
      <c r="P785" s="2"/>
    </row>
    <row r="786">
      <c r="E786" s="2"/>
      <c r="P786" s="2"/>
    </row>
    <row r="787">
      <c r="E787" s="2"/>
      <c r="P787" s="2"/>
    </row>
    <row r="788">
      <c r="E788" s="2"/>
      <c r="P788" s="2"/>
    </row>
    <row r="789">
      <c r="E789" s="2"/>
      <c r="P789" s="2"/>
    </row>
    <row r="790">
      <c r="E790" s="2"/>
      <c r="P790" s="2"/>
    </row>
    <row r="791">
      <c r="E791" s="2"/>
      <c r="P791" s="2"/>
    </row>
    <row r="792">
      <c r="E792" s="2"/>
      <c r="P792" s="2"/>
    </row>
    <row r="793">
      <c r="E793" s="2"/>
      <c r="P793" s="2"/>
    </row>
    <row r="794">
      <c r="E794" s="2"/>
      <c r="P794" s="2"/>
    </row>
    <row r="795">
      <c r="E795" s="2"/>
      <c r="P795" s="2"/>
    </row>
    <row r="796">
      <c r="E796" s="2"/>
      <c r="P796" s="2"/>
    </row>
    <row r="797">
      <c r="E797" s="2"/>
      <c r="P797" s="2"/>
    </row>
    <row r="798">
      <c r="E798" s="2"/>
      <c r="P798" s="2"/>
    </row>
    <row r="799">
      <c r="E799" s="2"/>
      <c r="P799" s="2"/>
    </row>
    <row r="800">
      <c r="E800" s="2"/>
      <c r="P800" s="2"/>
    </row>
    <row r="801">
      <c r="E801" s="2"/>
      <c r="P801" s="2"/>
    </row>
    <row r="802">
      <c r="E802" s="2"/>
      <c r="P802" s="2"/>
    </row>
    <row r="803">
      <c r="E803" s="2"/>
      <c r="P803" s="2"/>
    </row>
    <row r="804">
      <c r="E804" s="2"/>
      <c r="P804" s="2"/>
    </row>
    <row r="805">
      <c r="E805" s="2"/>
      <c r="P805" s="2"/>
    </row>
    <row r="806">
      <c r="E806" s="2"/>
      <c r="P806" s="2"/>
    </row>
    <row r="807">
      <c r="E807" s="2"/>
      <c r="P807" s="2"/>
    </row>
    <row r="808">
      <c r="E808" s="2"/>
      <c r="P808" s="2"/>
    </row>
    <row r="809">
      <c r="E809" s="2"/>
      <c r="P809" s="2"/>
    </row>
    <row r="810">
      <c r="E810" s="2"/>
      <c r="P810" s="2"/>
    </row>
    <row r="811">
      <c r="E811" s="2"/>
      <c r="P811" s="2"/>
    </row>
    <row r="812">
      <c r="E812" s="2"/>
      <c r="P812" s="2"/>
    </row>
    <row r="813">
      <c r="E813" s="2"/>
      <c r="P813" s="2"/>
    </row>
    <row r="814">
      <c r="E814" s="2"/>
      <c r="P814" s="2"/>
    </row>
    <row r="815">
      <c r="E815" s="2"/>
      <c r="P815" s="2"/>
    </row>
    <row r="816">
      <c r="E816" s="2"/>
      <c r="P816" s="2"/>
    </row>
    <row r="817">
      <c r="E817" s="2"/>
      <c r="P817" s="2"/>
    </row>
    <row r="818">
      <c r="E818" s="2"/>
      <c r="P818" s="2"/>
    </row>
    <row r="819">
      <c r="E819" s="2"/>
      <c r="P819" s="2"/>
    </row>
    <row r="820">
      <c r="E820" s="2"/>
      <c r="P820" s="2"/>
    </row>
    <row r="821">
      <c r="E821" s="2"/>
      <c r="P821" s="2"/>
    </row>
    <row r="822">
      <c r="E822" s="2"/>
      <c r="P822" s="2"/>
    </row>
    <row r="823">
      <c r="E823" s="2"/>
      <c r="P823" s="2"/>
    </row>
    <row r="824">
      <c r="E824" s="2"/>
      <c r="P824" s="2"/>
    </row>
    <row r="825">
      <c r="E825" s="2"/>
      <c r="P825" s="2"/>
    </row>
    <row r="826">
      <c r="E826" s="2"/>
      <c r="P826" s="2"/>
    </row>
    <row r="827">
      <c r="E827" s="2"/>
      <c r="P827" s="2"/>
    </row>
    <row r="828">
      <c r="E828" s="2"/>
      <c r="P828" s="2"/>
    </row>
    <row r="829">
      <c r="E829" s="2"/>
      <c r="P829" s="2"/>
    </row>
    <row r="830">
      <c r="E830" s="2"/>
      <c r="P830" s="2"/>
    </row>
    <row r="831">
      <c r="E831" s="2"/>
      <c r="P831" s="2"/>
    </row>
    <row r="832">
      <c r="E832" s="2"/>
      <c r="P832" s="2"/>
    </row>
    <row r="833">
      <c r="E833" s="2"/>
      <c r="P833" s="2"/>
    </row>
    <row r="834">
      <c r="E834" s="2"/>
      <c r="P834" s="2"/>
    </row>
    <row r="835">
      <c r="E835" s="2"/>
      <c r="P835" s="2"/>
    </row>
    <row r="836">
      <c r="E836" s="2"/>
      <c r="P836" s="2"/>
    </row>
    <row r="837">
      <c r="E837" s="2"/>
      <c r="P837" s="2"/>
    </row>
    <row r="838">
      <c r="E838" s="2"/>
      <c r="P838" s="2"/>
    </row>
    <row r="839">
      <c r="E839" s="2"/>
      <c r="P839" s="2"/>
    </row>
    <row r="840">
      <c r="E840" s="2"/>
      <c r="P840" s="2"/>
    </row>
    <row r="841">
      <c r="E841" s="2"/>
      <c r="P841" s="2"/>
    </row>
    <row r="842">
      <c r="E842" s="2"/>
      <c r="P842" s="2"/>
    </row>
    <row r="843">
      <c r="E843" s="2"/>
      <c r="P843" s="2"/>
    </row>
    <row r="844">
      <c r="E844" s="2"/>
      <c r="P844" s="2"/>
    </row>
    <row r="845">
      <c r="E845" s="2"/>
      <c r="P845" s="2"/>
    </row>
    <row r="846">
      <c r="E846" s="2"/>
      <c r="P846" s="2"/>
    </row>
    <row r="847">
      <c r="E847" s="2"/>
      <c r="P847" s="2"/>
    </row>
    <row r="848">
      <c r="E848" s="2"/>
      <c r="P848" s="2"/>
    </row>
    <row r="849">
      <c r="E849" s="2"/>
      <c r="P849" s="2"/>
    </row>
    <row r="850">
      <c r="E850" s="2"/>
      <c r="P850" s="2"/>
    </row>
    <row r="851">
      <c r="E851" s="2"/>
      <c r="P851" s="2"/>
    </row>
    <row r="852">
      <c r="E852" s="2"/>
      <c r="P852" s="2"/>
    </row>
    <row r="853">
      <c r="E853" s="2"/>
      <c r="P853" s="2"/>
    </row>
    <row r="854">
      <c r="E854" s="2"/>
      <c r="P854" s="2"/>
    </row>
    <row r="855">
      <c r="E855" s="2"/>
      <c r="P855" s="2"/>
    </row>
    <row r="856">
      <c r="E856" s="2"/>
      <c r="P856" s="2"/>
    </row>
    <row r="857">
      <c r="E857" s="2"/>
      <c r="P857" s="2"/>
    </row>
    <row r="858">
      <c r="E858" s="2"/>
      <c r="P858" s="2"/>
    </row>
    <row r="859">
      <c r="E859" s="2"/>
      <c r="P859" s="2"/>
    </row>
    <row r="860">
      <c r="E860" s="2"/>
      <c r="P860" s="2"/>
    </row>
    <row r="861">
      <c r="E861" s="2"/>
      <c r="P861" s="2"/>
    </row>
    <row r="862">
      <c r="E862" s="2"/>
      <c r="P862" s="2"/>
    </row>
    <row r="863">
      <c r="E863" s="2"/>
      <c r="P863" s="2"/>
    </row>
    <row r="864">
      <c r="E864" s="2"/>
      <c r="P864" s="2"/>
    </row>
    <row r="865">
      <c r="E865" s="2"/>
      <c r="P865" s="2"/>
    </row>
    <row r="866">
      <c r="E866" s="2"/>
      <c r="P866" s="2"/>
    </row>
    <row r="867">
      <c r="E867" s="2"/>
      <c r="P867" s="2"/>
    </row>
    <row r="868">
      <c r="E868" s="2"/>
      <c r="P868" s="2"/>
    </row>
    <row r="869">
      <c r="E869" s="2"/>
      <c r="P869" s="2"/>
    </row>
    <row r="870">
      <c r="E870" s="2"/>
      <c r="P870" s="2"/>
    </row>
    <row r="871">
      <c r="E871" s="2"/>
      <c r="P871" s="2"/>
    </row>
    <row r="872">
      <c r="E872" s="2"/>
      <c r="P872" s="2"/>
    </row>
    <row r="873">
      <c r="E873" s="2"/>
      <c r="P873" s="2"/>
    </row>
    <row r="874">
      <c r="E874" s="2"/>
      <c r="P874" s="2"/>
    </row>
    <row r="875">
      <c r="E875" s="2"/>
      <c r="P875" s="2"/>
    </row>
    <row r="876">
      <c r="E876" s="2"/>
      <c r="P876" s="2"/>
    </row>
    <row r="877">
      <c r="E877" s="2"/>
      <c r="P877" s="2"/>
    </row>
    <row r="878">
      <c r="E878" s="2"/>
      <c r="P878" s="2"/>
    </row>
    <row r="879">
      <c r="E879" s="2"/>
      <c r="P879" s="2"/>
    </row>
    <row r="880">
      <c r="E880" s="2"/>
      <c r="P880" s="2"/>
    </row>
    <row r="881">
      <c r="E881" s="2"/>
      <c r="P881" s="2"/>
    </row>
    <row r="882">
      <c r="E882" s="2"/>
      <c r="P882" s="2"/>
    </row>
    <row r="883">
      <c r="E883" s="2"/>
      <c r="P883" s="2"/>
    </row>
    <row r="884">
      <c r="E884" s="2"/>
      <c r="P884" s="2"/>
    </row>
    <row r="885">
      <c r="E885" s="2"/>
      <c r="P885" s="2"/>
    </row>
    <row r="886">
      <c r="E886" s="2"/>
      <c r="P886" s="2"/>
    </row>
    <row r="887">
      <c r="E887" s="2"/>
      <c r="P887" s="2"/>
    </row>
    <row r="888">
      <c r="E888" s="2"/>
      <c r="P888" s="2"/>
    </row>
    <row r="889">
      <c r="E889" s="2"/>
      <c r="P889" s="2"/>
    </row>
    <row r="890">
      <c r="E890" s="2"/>
      <c r="P890" s="2"/>
    </row>
    <row r="891">
      <c r="E891" s="2"/>
      <c r="P891" s="2"/>
    </row>
    <row r="892">
      <c r="E892" s="2"/>
      <c r="P892" s="2"/>
    </row>
    <row r="893">
      <c r="E893" s="2"/>
      <c r="P893" s="2"/>
    </row>
    <row r="894">
      <c r="E894" s="2"/>
      <c r="P894" s="2"/>
    </row>
    <row r="895">
      <c r="E895" s="2"/>
      <c r="P895" s="2"/>
    </row>
    <row r="896">
      <c r="E896" s="2"/>
      <c r="P896" s="2"/>
    </row>
    <row r="897">
      <c r="E897" s="2"/>
      <c r="P897" s="2"/>
    </row>
    <row r="898">
      <c r="E898" s="2"/>
      <c r="P898" s="2"/>
    </row>
    <row r="899">
      <c r="E899" s="2"/>
      <c r="P899" s="2"/>
    </row>
    <row r="900">
      <c r="E900" s="2"/>
      <c r="P900" s="2"/>
    </row>
    <row r="901">
      <c r="E901" s="2"/>
      <c r="P901" s="2"/>
    </row>
    <row r="902">
      <c r="E902" s="2"/>
      <c r="P902" s="2"/>
    </row>
    <row r="903">
      <c r="E903" s="2"/>
      <c r="P903" s="2"/>
    </row>
    <row r="904">
      <c r="E904" s="2"/>
      <c r="P904" s="2"/>
    </row>
    <row r="905">
      <c r="E905" s="2"/>
      <c r="P905" s="2"/>
    </row>
    <row r="906">
      <c r="E906" s="2"/>
      <c r="P906" s="2"/>
    </row>
    <row r="907">
      <c r="E907" s="2"/>
      <c r="P907" s="2"/>
    </row>
    <row r="908">
      <c r="E908" s="2"/>
      <c r="P908" s="2"/>
    </row>
    <row r="909">
      <c r="E909" s="2"/>
      <c r="P909" s="2"/>
    </row>
    <row r="910">
      <c r="E910" s="2"/>
      <c r="P910" s="2"/>
    </row>
    <row r="911">
      <c r="E911" s="2"/>
      <c r="P911" s="2"/>
    </row>
    <row r="912">
      <c r="E912" s="2"/>
      <c r="P912" s="2"/>
    </row>
    <row r="913">
      <c r="E913" s="2"/>
      <c r="P913" s="2"/>
    </row>
    <row r="914">
      <c r="E914" s="2"/>
      <c r="P914" s="2"/>
    </row>
    <row r="915">
      <c r="E915" s="2"/>
      <c r="P915" s="2"/>
    </row>
    <row r="916">
      <c r="E916" s="2"/>
      <c r="P916" s="2"/>
    </row>
    <row r="917">
      <c r="E917" s="2"/>
      <c r="P917" s="2"/>
    </row>
    <row r="918">
      <c r="E918" s="2"/>
      <c r="P918" s="2"/>
    </row>
    <row r="919">
      <c r="E919" s="2"/>
      <c r="P919" s="2"/>
    </row>
    <row r="920">
      <c r="E920" s="2"/>
      <c r="P920" s="2"/>
    </row>
    <row r="921">
      <c r="E921" s="2"/>
      <c r="P921" s="2"/>
    </row>
    <row r="922">
      <c r="E922" s="2"/>
      <c r="P922" s="2"/>
    </row>
    <row r="923">
      <c r="E923" s="2"/>
      <c r="P923" s="2"/>
    </row>
    <row r="924">
      <c r="E924" s="2"/>
      <c r="P924" s="2"/>
    </row>
    <row r="925">
      <c r="E925" s="2"/>
      <c r="P925" s="2"/>
    </row>
    <row r="926">
      <c r="E926" s="2"/>
      <c r="P926" s="2"/>
    </row>
    <row r="927">
      <c r="E927" s="2"/>
      <c r="P927" s="2"/>
    </row>
    <row r="928">
      <c r="E928" s="2"/>
      <c r="P928" s="2"/>
    </row>
    <row r="929">
      <c r="E929" s="2"/>
      <c r="P929" s="2"/>
    </row>
    <row r="930">
      <c r="E930" s="2"/>
      <c r="P930" s="2"/>
    </row>
    <row r="931">
      <c r="E931" s="2"/>
      <c r="P931" s="2"/>
    </row>
    <row r="932">
      <c r="E932" s="2"/>
      <c r="P932" s="2"/>
    </row>
    <row r="933">
      <c r="E933" s="2"/>
      <c r="P933" s="2"/>
    </row>
    <row r="934">
      <c r="E934" s="2"/>
      <c r="P934" s="2"/>
    </row>
    <row r="935">
      <c r="E935" s="2"/>
      <c r="P935" s="2"/>
    </row>
    <row r="936">
      <c r="E936" s="2"/>
      <c r="P936" s="2"/>
    </row>
    <row r="937">
      <c r="E937" s="2"/>
      <c r="P937" s="2"/>
    </row>
    <row r="938">
      <c r="E938" s="2"/>
      <c r="P938" s="2"/>
    </row>
    <row r="939">
      <c r="E939" s="2"/>
      <c r="P939" s="2"/>
    </row>
    <row r="940">
      <c r="E940" s="2"/>
      <c r="P940" s="2"/>
    </row>
    <row r="941">
      <c r="E941" s="2"/>
      <c r="P941" s="2"/>
    </row>
    <row r="942">
      <c r="E942" s="2"/>
      <c r="P942" s="2"/>
    </row>
    <row r="943">
      <c r="E943" s="2"/>
      <c r="P943" s="2"/>
    </row>
    <row r="944">
      <c r="E944" s="2"/>
      <c r="P944" s="2"/>
    </row>
    <row r="945">
      <c r="E945" s="2"/>
      <c r="P945" s="2"/>
    </row>
    <row r="946">
      <c r="E946" s="2"/>
      <c r="P946" s="2"/>
    </row>
    <row r="947">
      <c r="E947" s="2"/>
      <c r="P947" s="2"/>
    </row>
    <row r="948">
      <c r="E948" s="2"/>
      <c r="P948" s="2"/>
    </row>
    <row r="949">
      <c r="E949" s="2"/>
      <c r="P949" s="2"/>
    </row>
    <row r="950">
      <c r="E950" s="2"/>
      <c r="P950" s="2"/>
    </row>
    <row r="951">
      <c r="E951" s="2"/>
      <c r="P951" s="2"/>
    </row>
    <row r="952">
      <c r="E952" s="2"/>
      <c r="P952" s="2"/>
    </row>
    <row r="953">
      <c r="E953" s="2"/>
      <c r="P953" s="2"/>
    </row>
    <row r="954">
      <c r="E954" s="2"/>
      <c r="P954" s="2"/>
    </row>
    <row r="955">
      <c r="E955" s="2"/>
      <c r="P955" s="2"/>
    </row>
    <row r="956">
      <c r="E956" s="2"/>
      <c r="P956" s="2"/>
    </row>
    <row r="957">
      <c r="E957" s="2"/>
      <c r="P957" s="2"/>
    </row>
    <row r="958">
      <c r="E958" s="2"/>
      <c r="P958" s="2"/>
    </row>
    <row r="959">
      <c r="E959" s="2"/>
      <c r="P959" s="2"/>
    </row>
    <row r="960">
      <c r="E960" s="2"/>
      <c r="P960" s="2"/>
    </row>
    <row r="961">
      <c r="E961" s="2"/>
      <c r="P961" s="2"/>
    </row>
    <row r="962">
      <c r="E962" s="2"/>
      <c r="P962" s="2"/>
    </row>
    <row r="963">
      <c r="E963" s="2"/>
      <c r="P963" s="2"/>
    </row>
    <row r="964">
      <c r="E964" s="2"/>
      <c r="P964" s="2"/>
    </row>
    <row r="965">
      <c r="E965" s="2"/>
      <c r="P965" s="2"/>
    </row>
    <row r="966">
      <c r="E966" s="2"/>
      <c r="P966" s="2"/>
    </row>
    <row r="967">
      <c r="E967" s="2"/>
      <c r="P967" s="2"/>
    </row>
    <row r="968">
      <c r="E968" s="2"/>
      <c r="P968" s="2"/>
    </row>
    <row r="969">
      <c r="E969" s="2"/>
      <c r="P969" s="2"/>
    </row>
    <row r="970">
      <c r="E970" s="2"/>
      <c r="P970" s="2"/>
    </row>
    <row r="971">
      <c r="E971" s="2"/>
      <c r="P971" s="2"/>
    </row>
    <row r="972">
      <c r="E972" s="2"/>
      <c r="P972" s="2"/>
    </row>
    <row r="973">
      <c r="E973" s="2"/>
      <c r="P973" s="2"/>
    </row>
    <row r="974">
      <c r="E974" s="2"/>
      <c r="P974" s="2"/>
    </row>
    <row r="975">
      <c r="E975" s="2"/>
      <c r="P975" s="2"/>
    </row>
    <row r="976">
      <c r="E976" s="2"/>
      <c r="P976" s="2"/>
    </row>
    <row r="977">
      <c r="E977" s="2"/>
      <c r="P977" s="2"/>
    </row>
    <row r="978">
      <c r="E978" s="2"/>
      <c r="P978" s="2"/>
    </row>
    <row r="979">
      <c r="E979" s="2"/>
      <c r="P979" s="2"/>
    </row>
    <row r="980">
      <c r="E980" s="2"/>
      <c r="P980" s="2"/>
    </row>
    <row r="981">
      <c r="E981" s="2"/>
      <c r="P981" s="2"/>
    </row>
    <row r="982">
      <c r="E982" s="2"/>
      <c r="P982" s="2"/>
    </row>
    <row r="983">
      <c r="E983" s="2"/>
      <c r="P983" s="2"/>
    </row>
    <row r="984">
      <c r="E984" s="2"/>
      <c r="P984" s="2"/>
    </row>
    <row r="985">
      <c r="E985" s="2"/>
      <c r="P985" s="2"/>
    </row>
    <row r="986">
      <c r="E986" s="2"/>
      <c r="P986" s="2"/>
    </row>
    <row r="987">
      <c r="E987" s="2"/>
      <c r="P987" s="2"/>
    </row>
    <row r="988">
      <c r="E988" s="2"/>
      <c r="P988" s="2"/>
    </row>
    <row r="989">
      <c r="E989" s="2"/>
      <c r="P989" s="2"/>
    </row>
    <row r="990">
      <c r="E990" s="2"/>
      <c r="P990" s="2"/>
    </row>
    <row r="991">
      <c r="E991" s="2"/>
      <c r="P991" s="2"/>
    </row>
    <row r="992">
      <c r="E992" s="2"/>
      <c r="P992" s="2"/>
    </row>
    <row r="993">
      <c r="E993" s="2"/>
      <c r="P993" s="2"/>
    </row>
    <row r="994">
      <c r="E994" s="2"/>
      <c r="P994" s="2"/>
    </row>
    <row r="995">
      <c r="E995" s="2"/>
      <c r="P995" s="2"/>
    </row>
    <row r="996">
      <c r="E996" s="2"/>
      <c r="P996" s="2"/>
    </row>
    <row r="997">
      <c r="E997" s="2"/>
      <c r="P997" s="2"/>
    </row>
    <row r="998">
      <c r="E998" s="2"/>
      <c r="P998" s="2"/>
    </row>
    <row r="999">
      <c r="E999" s="2"/>
      <c r="P999" s="2"/>
    </row>
    <row r="1000">
      <c r="E1000" s="2"/>
      <c r="P1000" s="2"/>
    </row>
  </sheetData>
  <conditionalFormatting sqref="B3:B13">
    <cfRule type="cellIs" dxfId="0" priority="1" operator="equal">
      <formula>0</formula>
    </cfRule>
  </conditionalFormatting>
  <conditionalFormatting sqref="B3:B13">
    <cfRule type="cellIs" dxfId="1" priority="2" operator="equal">
      <formula>1</formula>
    </cfRule>
  </conditionalFormatting>
  <conditionalFormatting sqref="B3:B13">
    <cfRule type="cellIs" dxfId="2" priority="3" operator="equal">
      <formula>2</formula>
    </cfRule>
  </conditionalFormatting>
  <conditionalFormatting sqref="B3:B13">
    <cfRule type="cellIs" dxfId="3" priority="4" operator="equal">
      <formula>3</formula>
    </cfRule>
  </conditionalFormatting>
  <conditionalFormatting sqref="F2:O11">
    <cfRule type="containsText" dxfId="4" priority="5" operator="containsText" text="0">
      <formula>NOT(ISERROR(SEARCH(("0"),(F2))))</formula>
    </cfRule>
  </conditionalFormatting>
  <conditionalFormatting sqref="F2:O11">
    <cfRule type="containsText" dxfId="5" priority="6" operator="containsText" text="1">
      <formula>NOT(ISERROR(SEARCH(("1"),(F2))))</formula>
    </cfRule>
  </conditionalFormatting>
  <conditionalFormatting sqref="F2:O11">
    <cfRule type="containsText" dxfId="6" priority="7" operator="containsText" text="2">
      <formula>NOT(ISERROR(SEARCH(("2"),(F2))))</formula>
    </cfRule>
  </conditionalFormatting>
  <conditionalFormatting sqref="F2:O11">
    <cfRule type="containsText" dxfId="7" priority="8" operator="containsText" text="3">
      <formula>NOT(ISERROR(SEARCH(("3"),(F2))))</formula>
    </cfRule>
  </conditionalFormatting>
  <conditionalFormatting sqref="F2:O11">
    <cfRule type="containsText" dxfId="8" priority="9" operator="containsText" text="4">
      <formula>NOT(ISERROR(SEARCH(("4"),(F2))))</formula>
    </cfRule>
  </conditionalFormatting>
  <conditionalFormatting sqref="B7:B13">
    <cfRule type="cellIs" dxfId="9" priority="10" operator="equal">
      <formula>4</formula>
    </cfRule>
  </conditionalFormatting>
  <conditionalFormatting sqref="F15:H17">
    <cfRule type="cellIs" dxfId="10" priority="11" operator="equal">
      <formula>0</formula>
    </cfRule>
  </conditionalFormatting>
  <conditionalFormatting sqref="F15:H17">
    <cfRule type="cellIs" dxfId="6" priority="12" operator="equal">
      <formula>1</formula>
    </cfRule>
  </conditionalFormatting>
  <drawing r:id="rId1"/>
</worksheet>
</file>